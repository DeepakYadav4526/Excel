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6\Desktop\"/>
    </mc:Choice>
  </mc:AlternateContent>
  <xr:revisionPtr revIDLastSave="0" documentId="13_ncr:1_{D058B34F-C0C3-4059-8A95-5FCD0A9C7F86}" xr6:coauthVersionLast="47" xr6:coauthVersionMax="47" xr10:uidLastSave="{00000000-0000-0000-0000-000000000000}"/>
  <bookViews>
    <workbookView xWindow="-120" yWindow="-120" windowWidth="20730" windowHeight="11040" activeTab="1" xr2:uid="{D913EA92-394C-462C-8757-4918CDD73BB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3" i="2" l="1" a="1"/>
  <c r="W3" i="2" s="1"/>
  <c r="W4" i="2" a="1"/>
  <c r="W4" i="2" s="1"/>
  <c r="W5" i="2" a="1"/>
  <c r="W5" i="2"/>
  <c r="W6" i="2" a="1"/>
  <c r="W6" i="2" s="1"/>
  <c r="W7" i="2" a="1"/>
  <c r="W7" i="2" s="1"/>
  <c r="W8" i="2" a="1"/>
  <c r="W8" i="2" s="1"/>
  <c r="W9" i="2" a="1"/>
  <c r="W9" i="2"/>
  <c r="W10" i="2" a="1"/>
  <c r="W10" i="2" s="1"/>
  <c r="W11" i="2" a="1"/>
  <c r="W11" i="2" s="1"/>
  <c r="W12" i="2" a="1"/>
  <c r="W12" i="2" s="1"/>
  <c r="W13" i="2" a="1"/>
  <c r="W13" i="2"/>
  <c r="W14" i="2" a="1"/>
  <c r="W14" i="2" s="1"/>
  <c r="W15" i="2" a="1"/>
  <c r="W15" i="2" s="1"/>
  <c r="W16" i="2" a="1"/>
  <c r="W16" i="2" s="1"/>
  <c r="W17" i="2" a="1"/>
  <c r="W17" i="2"/>
  <c r="W18" i="2" a="1"/>
  <c r="W18" i="2"/>
  <c r="W19" i="2" a="1"/>
  <c r="W19" i="2" s="1"/>
  <c r="W20" i="2" a="1"/>
  <c r="W20" i="2" s="1"/>
  <c r="W21" i="2" a="1"/>
  <c r="W21" i="2"/>
  <c r="W2" i="2" a="1"/>
  <c r="W2" i="2" s="1"/>
  <c r="V2" i="2" a="1"/>
  <c r="V2" i="2" s="1"/>
  <c r="V3" i="2" a="1"/>
  <c r="V3" i="2" s="1"/>
  <c r="V4" i="2" a="1"/>
  <c r="V4" i="2" s="1"/>
  <c r="V5" i="2" a="1"/>
  <c r="V5" i="2" s="1"/>
  <c r="V6" i="2" a="1"/>
  <c r="V6" i="2"/>
  <c r="V7" i="2" a="1"/>
  <c r="V7" i="2" s="1"/>
  <c r="V8" i="2" a="1"/>
  <c r="V8" i="2" s="1"/>
  <c r="V9" i="2" a="1"/>
  <c r="V9" i="2" s="1"/>
  <c r="V10" i="2" a="1"/>
  <c r="V10" i="2"/>
  <c r="V11" i="2" a="1"/>
  <c r="V11" i="2" s="1"/>
  <c r="V12" i="2" a="1"/>
  <c r="V12" i="2" s="1"/>
  <c r="V13" i="2" a="1"/>
  <c r="V13" i="2" s="1"/>
  <c r="V14" i="2" a="1"/>
  <c r="V14" i="2" s="1"/>
  <c r="V15" i="2" a="1"/>
  <c r="V15" i="2" s="1"/>
  <c r="V16" i="2" a="1"/>
  <c r="V16" i="2" s="1"/>
  <c r="V17" i="2" a="1"/>
  <c r="V17" i="2" s="1"/>
  <c r="V18" i="2" a="1"/>
  <c r="V18" i="2"/>
  <c r="V19" i="2" a="1"/>
  <c r="V19" i="2" s="1"/>
  <c r="V20" i="2" a="1"/>
  <c r="V20" i="2" s="1"/>
  <c r="V21" i="2" a="1"/>
  <c r="V21" i="2" s="1"/>
  <c r="U3" i="2" a="1"/>
  <c r="U3" i="2"/>
  <c r="U4" i="2" a="1"/>
  <c r="U4" i="2" s="1"/>
  <c r="U5" i="2" a="1"/>
  <c r="U5" i="2" s="1"/>
  <c r="U6" i="2" a="1"/>
  <c r="U6" i="2" s="1"/>
  <c r="U7" i="2" a="1"/>
  <c r="U7" i="2"/>
  <c r="U8" i="2" a="1"/>
  <c r="U8" i="2"/>
  <c r="U9" i="2" a="1"/>
  <c r="U9" i="2" s="1"/>
  <c r="U10" i="2" a="1"/>
  <c r="U10" i="2" s="1"/>
  <c r="U11" i="2" a="1"/>
  <c r="U11" i="2"/>
  <c r="U12" i="2" a="1"/>
  <c r="U12" i="2" s="1"/>
  <c r="U13" i="2" a="1"/>
  <c r="U13" i="2" s="1"/>
  <c r="U14" i="2" a="1"/>
  <c r="U14" i="2"/>
  <c r="U15" i="2" a="1"/>
  <c r="U15" i="2"/>
  <c r="U16" i="2" a="1"/>
  <c r="U16" i="2" s="1"/>
  <c r="U17" i="2" a="1"/>
  <c r="U17" i="2" s="1"/>
  <c r="U18" i="2" a="1"/>
  <c r="U18" i="2" s="1"/>
  <c r="U19" i="2" a="1"/>
  <c r="U19" i="2"/>
  <c r="U20" i="2" a="1"/>
  <c r="U20" i="2" s="1"/>
  <c r="U21" i="2" a="1"/>
  <c r="U21" i="2" s="1"/>
  <c r="U2" i="2" a="1"/>
  <c r="U2" i="2" s="1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" i="2"/>
  <c r="N12" i="2"/>
  <c r="N13" i="2"/>
  <c r="N14" i="2"/>
  <c r="N15" i="2"/>
  <c r="N16" i="2"/>
  <c r="N17" i="2"/>
  <c r="N18" i="2"/>
  <c r="N19" i="2"/>
  <c r="N20" i="2"/>
  <c r="N21" i="2"/>
  <c r="N3" i="2"/>
  <c r="N4" i="2"/>
  <c r="N5" i="2"/>
  <c r="N6" i="2"/>
  <c r="N7" i="2"/>
  <c r="N8" i="2"/>
  <c r="N9" i="2"/>
  <c r="N10" i="2"/>
  <c r="N1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" i="2"/>
  <c r="O2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" i="2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C4" i="1"/>
  <c r="D4" i="1"/>
  <c r="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<sst xmlns="http://schemas.openxmlformats.org/spreadsheetml/2006/main" count="184" uniqueCount="96">
  <si>
    <t xml:space="preserve">Years </t>
  </si>
  <si>
    <t>Order_ID</t>
  </si>
  <si>
    <t>Order_Date</t>
  </si>
  <si>
    <t>Customer_ID</t>
  </si>
  <si>
    <t>City</t>
  </si>
  <si>
    <t>Region</t>
  </si>
  <si>
    <t>Product</t>
  </si>
  <si>
    <t>Category</t>
  </si>
  <si>
    <t>Quantity</t>
  </si>
  <si>
    <t>Unit_Price</t>
  </si>
  <si>
    <t>Discount</t>
  </si>
  <si>
    <t>Order_Status</t>
  </si>
  <si>
    <t>Returned</t>
  </si>
  <si>
    <t>ORD-0001</t>
  </si>
  <si>
    <t>CUST-0001</t>
  </si>
  <si>
    <t>Delhi</t>
  </si>
  <si>
    <t>North</t>
  </si>
  <si>
    <t>Headphones</t>
  </si>
  <si>
    <t>Electronics</t>
  </si>
  <si>
    <t>Delivered</t>
  </si>
  <si>
    <t>No</t>
  </si>
  <si>
    <t>ORD-0002</t>
  </si>
  <si>
    <t>CUST-0002</t>
  </si>
  <si>
    <t>Ahmedabad</t>
  </si>
  <si>
    <t>West</t>
  </si>
  <si>
    <t>Webcam</t>
  </si>
  <si>
    <t>Processing</t>
  </si>
  <si>
    <t>ORD-0003</t>
  </si>
  <si>
    <t>CUST-0003</t>
  </si>
  <si>
    <t>Bhubaneswar</t>
  </si>
  <si>
    <t>East</t>
  </si>
  <si>
    <t>Backpack</t>
  </si>
  <si>
    <t>Lifestyle</t>
  </si>
  <si>
    <t>Yes</t>
  </si>
  <si>
    <t>ORD-0004</t>
  </si>
  <si>
    <t>CUST-0004</t>
  </si>
  <si>
    <t>USB Hub</t>
  </si>
  <si>
    <t>Accessories</t>
  </si>
  <si>
    <t>ORD-0005</t>
  </si>
  <si>
    <t>CUST-0005</t>
  </si>
  <si>
    <t>Surat</t>
  </si>
  <si>
    <t>Shipped</t>
  </si>
  <si>
    <t>ORD-0006</t>
  </si>
  <si>
    <t>CUST-0006</t>
  </si>
  <si>
    <t>Pune</t>
  </si>
  <si>
    <t>Mouse</t>
  </si>
  <si>
    <t>ORD-0007</t>
  </si>
  <si>
    <t>CUST-0007</t>
  </si>
  <si>
    <t>Chennai</t>
  </si>
  <si>
    <t>South</t>
  </si>
  <si>
    <t>Desk Lamp</t>
  </si>
  <si>
    <t>Furniture</t>
  </si>
  <si>
    <t>ORD-0008</t>
  </si>
  <si>
    <t>CUST-0008</t>
  </si>
  <si>
    <t>ORD-0009</t>
  </si>
  <si>
    <t>CUST-0009</t>
  </si>
  <si>
    <t>Kolkata</t>
  </si>
  <si>
    <t>Laptop</t>
  </si>
  <si>
    <t>ORD-0010</t>
  </si>
  <si>
    <t>CUST-0010</t>
  </si>
  <si>
    <t>Mumbai</t>
  </si>
  <si>
    <t>ORD-0011</t>
  </si>
  <si>
    <t>CUST-0011</t>
  </si>
  <si>
    <t>Jaipur</t>
  </si>
  <si>
    <t>ORD-0012</t>
  </si>
  <si>
    <t>CUST-0012</t>
  </si>
  <si>
    <t>ORD-0013</t>
  </si>
  <si>
    <t>CUST-0013</t>
  </si>
  <si>
    <t>ORD-0014</t>
  </si>
  <si>
    <t>CUST-0014</t>
  </si>
  <si>
    <t>ORD-0015</t>
  </si>
  <si>
    <t>CUST-0015</t>
  </si>
  <si>
    <t>ORD-0016</t>
  </si>
  <si>
    <t>CUST-0016</t>
  </si>
  <si>
    <t>Hyderabad</t>
  </si>
  <si>
    <t>Cancelled</t>
  </si>
  <si>
    <t>ORD-0017</t>
  </si>
  <si>
    <t>CUST-0017</t>
  </si>
  <si>
    <t>Monitor</t>
  </si>
  <si>
    <t>ORD-0018</t>
  </si>
  <si>
    <t>CUST-0018</t>
  </si>
  <si>
    <t>ORD-0019</t>
  </si>
  <si>
    <t>CUST-0019</t>
  </si>
  <si>
    <t>ORD-0020</t>
  </si>
  <si>
    <t>CUST-0020</t>
  </si>
  <si>
    <t>Columa 1</t>
  </si>
  <si>
    <t>Columa 2</t>
  </si>
  <si>
    <t>Columa 3</t>
  </si>
  <si>
    <t>Columa 4</t>
  </si>
  <si>
    <t>Columa 5</t>
  </si>
  <si>
    <t>Columa 6</t>
  </si>
  <si>
    <t>Columa 7</t>
  </si>
  <si>
    <t>Columa 8</t>
  </si>
  <si>
    <t>Columa 9</t>
  </si>
  <si>
    <t>Columa 10</t>
  </si>
  <si>
    <t>Columa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</si>
</sst>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5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2" fillId="2" borderId="1" xfId="0" applyFont="1" applyFill="1" applyBorder="1" applyAlignment="1">
      <alignment horizontal="left" vertical="center"/>
    </xf>
    <xf numFmtId="15" fontId="2" fillId="2" borderId="1" xfId="0" applyNumberFormat="1" applyFont="1" applyFill="1" applyBorder="1" applyAlignment="1">
      <alignment horizontal="left" vertical="center"/>
    </xf>
    <xf numFmtId="9" fontId="2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5" fontId="2" fillId="3" borderId="1" xfId="0" applyNumberFormat="1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69" fontId="2" fillId="2" borderId="1" xfId="0" applyNumberFormat="1" applyFont="1" applyFill="1" applyBorder="1" applyAlignment="1">
      <alignment horizontal="left" vertical="center"/>
    </xf>
    <xf numFmtId="169" fontId="2" fillId="3" borderId="1" xfId="0" applyNumberFormat="1" applyFont="1" applyFill="1" applyBorder="1" applyAlignment="1">
      <alignment horizontal="left" vertical="center"/>
    </xf>
    <xf numFmtId="169" fontId="2" fillId="3" borderId="1" xfId="0" applyNumberFormat="1" applyFont="1" applyFill="1" applyBorder="1" applyAlignment="1">
      <alignment horizontal="left" vertical="center" wrapText="1"/>
    </xf>
    <xf numFmtId="0" fontId="4" fillId="0" borderId="0" xfId="0" applyFont="1" applyAlignment="1"/>
  </cellXfs>
  <cellStyles count="1">
    <cellStyle name="Normal" xfId="0" builtinId="0"/>
  </cellStyles>
  <dxfs count="13">
    <dxf>
      <numFmt numFmtId="169" formatCode="&quot;₹&quot;\ #,##0.00"/>
    </dxf>
    <dxf>
      <border outline="0">
        <left style="medium">
          <color rgb="FFD1D9E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numFmt numFmtId="20" formatCode="dd/mmm/yy"/>
      <fill>
        <patternFill patternType="solid">
          <fgColor indexed="64"/>
          <bgColor rgb="FFF6F8FA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0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top style="medium">
          <color rgb="FFD1D9E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52B01C-5D22-4803-9EB8-FD9A7F787C2A}" name="Ecom" displayName="Ecom" ref="A1:L21" totalsRowShown="0" headerRowDxfId="3" headerRowBorderDxfId="11" tableBorderDxfId="12">
  <autoFilter ref="A1:L21" xr:uid="{1E52B01C-5D22-4803-9EB8-FD9A7F787C2A}"/>
  <tableColumns count="12">
    <tableColumn id="1" xr3:uid="{D427124F-44BF-4902-A0B5-AF578F6A60BC}" name="Order_ID" dataDxfId="10"/>
    <tableColumn id="2" xr3:uid="{7024DC2E-1309-48E6-BF2F-FA1ADB12EAA2}" name="Order_Date" dataDxfId="9"/>
    <tableColumn id="3" xr3:uid="{96C5E7A7-F8E7-4A4D-B93E-D99B2D013B7B}" name="Customer_ID" dataDxfId="8"/>
    <tableColumn id="4" xr3:uid="{9A66F281-EF4E-43D3-A81A-73AE7200E699}" name="City" dataDxfId="7"/>
    <tableColumn id="5" xr3:uid="{D881DDD4-1919-441A-92E3-4DF4F4F5E267}" name="Region" dataDxfId="6"/>
    <tableColumn id="6" xr3:uid="{5030E349-E32C-4B47-989C-3B3875230E54}" name="Product" dataDxfId="5"/>
    <tableColumn id="7" xr3:uid="{B1B8403F-0591-4A85-B4AA-E0E2F8C7939E}" name="Category" dataDxfId="4"/>
    <tableColumn id="8" xr3:uid="{4803CC37-2ED5-452E-87C5-36EBB493D0C1}" name="Quantity" dataDxfId="2"/>
    <tableColumn id="9" xr3:uid="{5E5D439B-8864-474D-B01D-BBAB4D38C50E}" name="Unit_Price" dataDxfId="0"/>
    <tableColumn id="10" xr3:uid="{A67994E5-E756-4B5E-BBB7-38087A221020}" name="Discount" dataDxfId="1"/>
    <tableColumn id="11" xr3:uid="{753C81ED-0040-48E2-A0A6-5A4A1F18465A}" name="Order_Status"/>
    <tableColumn id="12" xr3:uid="{1E7269A7-B951-4B49-9B01-E4FA69D48A42}" name="Returned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3B6C-6339-47B7-93BC-75641F8AEDA6}">
  <dimension ref="A1:D13"/>
  <sheetViews>
    <sheetView topLeftCell="A4" workbookViewId="0">
      <selection activeCell="J17" sqref="J17"/>
    </sheetView>
  </sheetViews>
  <sheetFormatPr defaultRowHeight="15" x14ac:dyDescent="0.25"/>
  <cols>
    <col min="1" max="16384" width="9.140625" style="2"/>
  </cols>
  <sheetData>
    <row r="1" spans="1:4" x14ac:dyDescent="0.25">
      <c r="A1" s="1">
        <v>0.12</v>
      </c>
    </row>
    <row r="2" spans="1:4" x14ac:dyDescent="0.25">
      <c r="B2" s="2" t="s">
        <v>0</v>
      </c>
    </row>
    <row r="3" spans="1:4" x14ac:dyDescent="0.25">
      <c r="B3" s="2">
        <v>1</v>
      </c>
      <c r="C3" s="2">
        <v>2</v>
      </c>
      <c r="D3" s="2">
        <v>3</v>
      </c>
    </row>
    <row r="4" spans="1:4" x14ac:dyDescent="0.25">
      <c r="A4" s="2">
        <v>1000</v>
      </c>
      <c r="B4" s="2">
        <f>$A4*$A$1*B$3</f>
        <v>120</v>
      </c>
      <c r="C4" s="2">
        <f t="shared" ref="C4:D13" si="0">$A4*$A$1*C$3</f>
        <v>240</v>
      </c>
      <c r="D4" s="2">
        <f t="shared" si="0"/>
        <v>360</v>
      </c>
    </row>
    <row r="5" spans="1:4" x14ac:dyDescent="0.25">
      <c r="A5" s="2">
        <v>2000</v>
      </c>
      <c r="B5" s="2">
        <f t="shared" ref="B5:B13" si="1">$A5*$A$1*B$3</f>
        <v>240</v>
      </c>
      <c r="C5" s="2">
        <f t="shared" si="0"/>
        <v>480</v>
      </c>
      <c r="D5" s="2">
        <f t="shared" si="0"/>
        <v>720</v>
      </c>
    </row>
    <row r="6" spans="1:4" x14ac:dyDescent="0.25">
      <c r="A6" s="2">
        <v>3000</v>
      </c>
      <c r="B6" s="2">
        <f t="shared" si="1"/>
        <v>360</v>
      </c>
      <c r="C6" s="2">
        <f t="shared" si="0"/>
        <v>720</v>
      </c>
      <c r="D6" s="2">
        <f t="shared" si="0"/>
        <v>1080</v>
      </c>
    </row>
    <row r="7" spans="1:4" x14ac:dyDescent="0.25">
      <c r="A7" s="2">
        <v>4000</v>
      </c>
      <c r="B7" s="2">
        <f t="shared" si="1"/>
        <v>480</v>
      </c>
      <c r="C7" s="2">
        <f t="shared" si="0"/>
        <v>960</v>
      </c>
      <c r="D7" s="2">
        <f t="shared" si="0"/>
        <v>1440</v>
      </c>
    </row>
    <row r="8" spans="1:4" x14ac:dyDescent="0.25">
      <c r="A8" s="2">
        <v>5000</v>
      </c>
      <c r="B8" s="2">
        <f t="shared" si="1"/>
        <v>600</v>
      </c>
      <c r="C8" s="2">
        <f t="shared" si="0"/>
        <v>1200</v>
      </c>
      <c r="D8" s="2">
        <f t="shared" si="0"/>
        <v>1800</v>
      </c>
    </row>
    <row r="9" spans="1:4" x14ac:dyDescent="0.25">
      <c r="A9" s="2">
        <v>6000</v>
      </c>
      <c r="B9" s="2">
        <f t="shared" si="1"/>
        <v>720</v>
      </c>
      <c r="C9" s="2">
        <f t="shared" si="0"/>
        <v>1440</v>
      </c>
      <c r="D9" s="2">
        <f t="shared" si="0"/>
        <v>2160</v>
      </c>
    </row>
    <row r="10" spans="1:4" x14ac:dyDescent="0.25">
      <c r="A10" s="2">
        <v>7000</v>
      </c>
      <c r="B10" s="2">
        <f t="shared" si="1"/>
        <v>840</v>
      </c>
      <c r="C10" s="2">
        <f t="shared" si="0"/>
        <v>1680</v>
      </c>
      <c r="D10" s="2">
        <f t="shared" si="0"/>
        <v>2520</v>
      </c>
    </row>
    <row r="11" spans="1:4" x14ac:dyDescent="0.25">
      <c r="A11" s="2">
        <v>8000</v>
      </c>
      <c r="B11" s="2">
        <f t="shared" si="1"/>
        <v>960</v>
      </c>
      <c r="C11" s="2">
        <f t="shared" si="0"/>
        <v>1920</v>
      </c>
      <c r="D11" s="2">
        <f t="shared" si="0"/>
        <v>2880</v>
      </c>
    </row>
    <row r="12" spans="1:4" x14ac:dyDescent="0.25">
      <c r="A12" s="2">
        <v>9000</v>
      </c>
      <c r="B12" s="2">
        <f t="shared" si="1"/>
        <v>1080</v>
      </c>
      <c r="C12" s="2">
        <f t="shared" si="0"/>
        <v>2160</v>
      </c>
      <c r="D12" s="2">
        <f t="shared" si="0"/>
        <v>3240</v>
      </c>
    </row>
    <row r="13" spans="1:4" x14ac:dyDescent="0.25">
      <c r="A13" s="2">
        <v>10000</v>
      </c>
      <c r="B13" s="2">
        <f t="shared" si="1"/>
        <v>1200</v>
      </c>
      <c r="C13" s="2">
        <f t="shared" si="0"/>
        <v>2400</v>
      </c>
      <c r="D13" s="2">
        <f t="shared" si="0"/>
        <v>3600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02D46-5347-4F7C-B260-349C3D3070B4}">
  <dimension ref="A1:W21"/>
  <sheetViews>
    <sheetView tabSelected="1" zoomScale="98" zoomScaleNormal="98" workbookViewId="0">
      <selection activeCell="M4" sqref="M4"/>
    </sheetView>
  </sheetViews>
  <sheetFormatPr defaultRowHeight="15" x14ac:dyDescent="0.25"/>
  <cols>
    <col min="1" max="1" width="16.28515625" style="3" bestFit="1" customWidth="1"/>
    <col min="2" max="2" width="19.28515625" style="3" bestFit="1" customWidth="1"/>
    <col min="3" max="3" width="20.85546875" style="3" bestFit="1" customWidth="1"/>
    <col min="4" max="4" width="15.140625" style="3" bestFit="1" customWidth="1"/>
    <col min="5" max="5" width="14" style="3" bestFit="1" customWidth="1"/>
    <col min="6" max="6" width="14.85546875" style="3" bestFit="1" customWidth="1"/>
    <col min="7" max="7" width="16.28515625" style="3" bestFit="1" customWidth="1"/>
    <col min="8" max="8" width="15.85546875" style="3" bestFit="1" customWidth="1"/>
    <col min="9" max="9" width="17.5703125" style="3" bestFit="1" customWidth="1"/>
    <col min="10" max="10" width="16" style="3" bestFit="1" customWidth="1"/>
    <col min="11" max="11" width="21.140625" style="3" bestFit="1" customWidth="1"/>
    <col min="12" max="12" width="16.42578125" style="3" bestFit="1" customWidth="1"/>
    <col min="13" max="17" width="10.140625" style="3" bestFit="1" customWidth="1"/>
    <col min="18" max="19" width="18.42578125" style="3" bestFit="1" customWidth="1"/>
    <col min="20" max="21" width="10.140625" style="3" bestFit="1" customWidth="1"/>
    <col min="22" max="23" width="11.42578125" style="3" bestFit="1" customWidth="1"/>
    <col min="24" max="16384" width="9.140625" style="3"/>
  </cols>
  <sheetData>
    <row r="1" spans="1:23" ht="18" thickBot="1" x14ac:dyDescent="0.3">
      <c r="A1" s="12" t="s">
        <v>1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12</v>
      </c>
      <c r="M1" s="19" t="s">
        <v>85</v>
      </c>
      <c r="N1" s="19" t="s">
        <v>86</v>
      </c>
      <c r="O1" s="19" t="s">
        <v>87</v>
      </c>
      <c r="P1" s="19" t="s">
        <v>88</v>
      </c>
      <c r="Q1" s="19" t="s">
        <v>89</v>
      </c>
      <c r="R1" s="19" t="s">
        <v>90</v>
      </c>
      <c r="S1" s="19" t="s">
        <v>91</v>
      </c>
      <c r="T1" s="19" t="s">
        <v>92</v>
      </c>
      <c r="U1" s="19" t="s">
        <v>93</v>
      </c>
      <c r="V1" s="19" t="s">
        <v>94</v>
      </c>
      <c r="W1" s="19" t="s">
        <v>95</v>
      </c>
    </row>
    <row r="2" spans="1:23" ht="18" thickBot="1" x14ac:dyDescent="0.3">
      <c r="A2" s="10" t="s">
        <v>13</v>
      </c>
      <c r="B2" s="5">
        <v>46249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>
        <v>5</v>
      </c>
      <c r="I2" s="16">
        <v>3500</v>
      </c>
      <c r="J2" s="6">
        <v>0</v>
      </c>
      <c r="K2" s="4" t="s">
        <v>19</v>
      </c>
      <c r="L2" s="4" t="s">
        <v>20</v>
      </c>
      <c r="M2" s="3" t="b">
        <f>(Ecom[[#This Row],[Category]]="Electronics")</f>
        <v>1</v>
      </c>
      <c r="N2" s="3" t="b">
        <f>OR(Ecom[[#This Row],[Quantity]]&gt;3,Ecom[[#This Row],[Unit_Price]]&gt;10000)</f>
        <v>1</v>
      </c>
      <c r="O2" s="3" t="b">
        <f>(Ecom[[#This Row],[Quantity]]&gt;3*Ecom[[#This Row],[Unit_Price]]&gt;10000)</f>
        <v>1</v>
      </c>
      <c r="P2" s="3">
        <f>(Ecom[[#This Row],[Quantity]]&gt;3)+(Ecom[[#This Row],[Unit_Price]]&gt;= 10000)</f>
        <v>1</v>
      </c>
      <c r="Q2" s="3">
        <f>IF(Ecom[[#This Row],[Returned]]="Yes",1,0)</f>
        <v>0</v>
      </c>
      <c r="R2" s="3" t="str">
        <f>IF(AND(Ecom[[#This Row],[Quantity]]&gt;=3,Ecom[[#This Row],[Unit_Price]]&gt;=10000),"Bulk and expensive","other")</f>
        <v>other</v>
      </c>
      <c r="S2" s="3" t="str">
        <f>IF(OR(Ecom[[#This Row],[Quantity]]&gt;=3,Ecom[[#This Row],[Unit_Price]]&gt;=10000),"Bulk and expensive","other")</f>
        <v>Bulk and expensive</v>
      </c>
      <c r="T2" s="3" t="str">
        <f>IF(Ecom[[#This Row],[Unit_Price]]&lt;500,"Low",IF(Ecom[[#This Row],[Unit_Price]]&lt;1000,"Medium",IF(Ecom[[#This Row],[Unit_Price]]&lt;5000,"High","Premium")))</f>
        <v>High</v>
      </c>
      <c r="U2" s="3" t="str" cm="1">
        <f t="array" ref="U2">_xlfn.IFS(Ecom[[#This Row],[Unit_Price]]&lt;500,"Low",Ecom[[#This Row],[Unit_Price]]&lt;1000,"Medium",Ecom[[#This Row],[Unit_Price]]&lt;5000,"High",TRUE,"Premium")</f>
        <v>High</v>
      </c>
      <c r="V2" s="3" t="str" cm="1">
        <f t="array" ref="V2">_xlfn.SWITCH(Ecom[[#This Row],[Order_Status]],"Delivered","Completed","Processing","In Progress","other")</f>
        <v>Completed</v>
      </c>
      <c r="W2" s="3" t="str" cm="1">
        <f t="array" ref="W2">_xlfn.SWITCH(TRUE,Ecom[[#This Row],[Unit_Price]]&lt;500,"Low",Ecom[[#This Row],[Unit_Price]]&lt;1000,"Medium",Ecom[[#This Row],[Unit_Price]]&lt;5000,"High","Premium")</f>
        <v>High</v>
      </c>
    </row>
    <row r="3" spans="1:23" ht="18" thickBot="1" x14ac:dyDescent="0.3">
      <c r="A3" s="11" t="s">
        <v>21</v>
      </c>
      <c r="B3" s="8">
        <v>46023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18</v>
      </c>
      <c r="H3" s="7">
        <v>3</v>
      </c>
      <c r="I3" s="17">
        <v>4500</v>
      </c>
      <c r="J3" s="9">
        <v>0.1</v>
      </c>
      <c r="K3" s="7" t="s">
        <v>26</v>
      </c>
      <c r="L3" s="7" t="s">
        <v>20</v>
      </c>
      <c r="M3" s="3" t="b">
        <f>(Ecom[[#This Row],[Category]]="Electronics")</f>
        <v>1</v>
      </c>
      <c r="N3" s="3" t="b">
        <f>OR(Ecom[[#This Row],[Quantity]]&gt;3,Ecom[[#This Row],[Unit_Price]]&gt;10000)</f>
        <v>0</v>
      </c>
      <c r="O3" s="3" t="b">
        <f>(Ecom[[#This Row],[Quantity]]&gt;3*Ecom[[#This Row],[Unit_Price]]&gt;10000)</f>
        <v>1</v>
      </c>
      <c r="P3" s="3">
        <f>(Ecom[[#This Row],[Quantity]]&gt;3)+(Ecom[[#This Row],[Unit_Price]]&gt;= 10000)</f>
        <v>0</v>
      </c>
      <c r="Q3" s="3">
        <f>IF(Ecom[[#This Row],[Returned]]="Yes",1,0)</f>
        <v>0</v>
      </c>
      <c r="R3" s="3" t="str">
        <f>IF(AND(Ecom[[#This Row],[Quantity]]&gt;=3,Ecom[[#This Row],[Unit_Price]]&gt;=10000),"Bulk and expensive","other")</f>
        <v>other</v>
      </c>
      <c r="S3" s="3" t="str">
        <f>IF(OR(Ecom[[#This Row],[Quantity]]&gt;=3,Ecom[[#This Row],[Unit_Price]]&gt;=10000),"Bulk and expensive","other")</f>
        <v>Bulk and expensive</v>
      </c>
      <c r="T3" s="3" t="str">
        <f>IF(Ecom[[#This Row],[Unit_Price]]&lt;500,"Low",IF(Ecom[[#This Row],[Unit_Price]]&lt;1000,"Medium",IF(Ecom[[#This Row],[Unit_Price]]&lt;5000,"High","Premium")))</f>
        <v>High</v>
      </c>
      <c r="U3" s="3" t="str" cm="1">
        <f t="array" ref="U3">_xlfn.IFS(Ecom[[#This Row],[Unit_Price]]&lt;500,"Low",Ecom[[#This Row],[Unit_Price]]&lt;1000,"Medium",Ecom[[#This Row],[Unit_Price]]&lt;5000,"High",TRUE,"Premium")</f>
        <v>High</v>
      </c>
      <c r="V3" s="3" t="str" cm="1">
        <f t="array" ref="V3">_xlfn.SWITCH(Ecom[[#This Row],[Order_Status]],"Delivered","Completed","Processing","In Progress","other")</f>
        <v>In Progress</v>
      </c>
      <c r="W3" s="3" t="str" cm="1">
        <f t="array" ref="W3">_xlfn.SWITCH(TRUE,Ecom[[#This Row],[Unit_Price]]&lt;500,"Low",Ecom[[#This Row],[Unit_Price]]&lt;1000,"Medium",Ecom[[#This Row],[Unit_Price]]&lt;5000,"High","Premium")</f>
        <v>High</v>
      </c>
    </row>
    <row r="4" spans="1:23" ht="18" thickBot="1" x14ac:dyDescent="0.3">
      <c r="A4" s="10" t="s">
        <v>27</v>
      </c>
      <c r="B4" s="5">
        <v>46067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>
        <v>2</v>
      </c>
      <c r="I4" s="16">
        <v>1800</v>
      </c>
      <c r="J4" s="6">
        <v>0</v>
      </c>
      <c r="K4" s="4" t="s">
        <v>12</v>
      </c>
      <c r="L4" s="4" t="s">
        <v>33</v>
      </c>
      <c r="M4" s="3" t="b">
        <f>(Ecom[[#This Row],[Category]]="Electronics")</f>
        <v>0</v>
      </c>
      <c r="N4" s="3" t="b">
        <f>OR(Ecom[[#This Row],[Quantity]]&gt;3,Ecom[[#This Row],[Unit_Price]]&gt;10000)</f>
        <v>0</v>
      </c>
      <c r="O4" s="3" t="b">
        <f>(Ecom[[#This Row],[Quantity]]&gt;3*Ecom[[#This Row],[Unit_Price]]&gt;10000)</f>
        <v>1</v>
      </c>
      <c r="P4" s="3">
        <f>(Ecom[[#This Row],[Quantity]]&gt;3)+(Ecom[[#This Row],[Unit_Price]]&gt;= 10000)</f>
        <v>0</v>
      </c>
      <c r="Q4" s="3">
        <f>IF(Ecom[[#This Row],[Returned]]="Yes",1,0)</f>
        <v>1</v>
      </c>
      <c r="R4" s="3" t="str">
        <f>IF(AND(Ecom[[#This Row],[Quantity]]&gt;=3,Ecom[[#This Row],[Unit_Price]]&gt;=10000),"Bulk and expensive","other")</f>
        <v>other</v>
      </c>
      <c r="S4" s="3" t="str">
        <f>IF(OR(Ecom[[#This Row],[Quantity]]&gt;=3,Ecom[[#This Row],[Unit_Price]]&gt;=10000),"Bulk and expensive","other")</f>
        <v>other</v>
      </c>
      <c r="T4" s="3" t="str">
        <f>IF(Ecom[[#This Row],[Unit_Price]]&lt;500,"Low",IF(Ecom[[#This Row],[Unit_Price]]&lt;1000,"Medium",IF(Ecom[[#This Row],[Unit_Price]]&lt;5000,"High","Premium")))</f>
        <v>High</v>
      </c>
      <c r="U4" s="3" t="str" cm="1">
        <f t="array" ref="U4">_xlfn.IFS(Ecom[[#This Row],[Unit_Price]]&lt;500,"Low",Ecom[[#This Row],[Unit_Price]]&lt;1000,"Medium",Ecom[[#This Row],[Unit_Price]]&lt;5000,"High",TRUE,"Premium")</f>
        <v>High</v>
      </c>
      <c r="V4" s="3" t="str" cm="1">
        <f t="array" ref="V4">_xlfn.SWITCH(Ecom[[#This Row],[Order_Status]],"Delivered","Completed","Processing","In Progress","other")</f>
        <v>other</v>
      </c>
      <c r="W4" s="3" t="str" cm="1">
        <f t="array" ref="W4">_xlfn.SWITCH(TRUE,Ecom[[#This Row],[Unit_Price]]&lt;500,"Low",Ecom[[#This Row],[Unit_Price]]&lt;1000,"Medium",Ecom[[#This Row],[Unit_Price]]&lt;5000,"High","Premium")</f>
        <v>High</v>
      </c>
    </row>
    <row r="5" spans="1:23" ht="18" thickBot="1" x14ac:dyDescent="0.3">
      <c r="A5" s="11" t="s">
        <v>34</v>
      </c>
      <c r="B5" s="8">
        <v>46095</v>
      </c>
      <c r="C5" s="7" t="s">
        <v>35</v>
      </c>
      <c r="D5" s="7" t="s">
        <v>23</v>
      </c>
      <c r="E5" s="7" t="s">
        <v>24</v>
      </c>
      <c r="F5" s="7" t="s">
        <v>36</v>
      </c>
      <c r="G5" s="7" t="s">
        <v>37</v>
      </c>
      <c r="H5" s="7">
        <v>1</v>
      </c>
      <c r="I5" s="17">
        <v>1200</v>
      </c>
      <c r="J5" s="9">
        <v>0.15</v>
      </c>
      <c r="K5" s="7" t="s">
        <v>19</v>
      </c>
      <c r="L5" s="7" t="s">
        <v>20</v>
      </c>
      <c r="M5" s="3" t="b">
        <f>(Ecom[[#This Row],[Category]]="Electronics")</f>
        <v>0</v>
      </c>
      <c r="N5" s="3" t="b">
        <f>OR(Ecom[[#This Row],[Quantity]]&gt;3,Ecom[[#This Row],[Unit_Price]]&gt;10000)</f>
        <v>0</v>
      </c>
      <c r="O5" s="3" t="b">
        <f>(Ecom[[#This Row],[Quantity]]&gt;3*Ecom[[#This Row],[Unit_Price]]&gt;10000)</f>
        <v>1</v>
      </c>
      <c r="P5" s="3">
        <f>(Ecom[[#This Row],[Quantity]]&gt;3)+(Ecom[[#This Row],[Unit_Price]]&gt;= 10000)</f>
        <v>0</v>
      </c>
      <c r="Q5" s="3">
        <f>IF(Ecom[[#This Row],[Returned]]="Yes",1,0)</f>
        <v>0</v>
      </c>
      <c r="R5" s="3" t="str">
        <f>IF(AND(Ecom[[#This Row],[Quantity]]&gt;=3,Ecom[[#This Row],[Unit_Price]]&gt;=10000),"Bulk and expensive","other")</f>
        <v>other</v>
      </c>
      <c r="S5" s="3" t="str">
        <f>IF(OR(Ecom[[#This Row],[Quantity]]&gt;=3,Ecom[[#This Row],[Unit_Price]]&gt;=10000),"Bulk and expensive","other")</f>
        <v>other</v>
      </c>
      <c r="T5" s="3" t="str">
        <f>IF(Ecom[[#This Row],[Unit_Price]]&lt;500,"Low",IF(Ecom[[#This Row],[Unit_Price]]&lt;1000,"Medium",IF(Ecom[[#This Row],[Unit_Price]]&lt;5000,"High","Premium")))</f>
        <v>High</v>
      </c>
      <c r="U5" s="3" t="str" cm="1">
        <f t="array" ref="U5">_xlfn.IFS(Ecom[[#This Row],[Unit_Price]]&lt;500,"Low",Ecom[[#This Row],[Unit_Price]]&lt;1000,"Medium",Ecom[[#This Row],[Unit_Price]]&lt;5000,"High",TRUE,"Premium")</f>
        <v>High</v>
      </c>
      <c r="V5" s="3" t="str" cm="1">
        <f t="array" ref="V5">_xlfn.SWITCH(Ecom[[#This Row],[Order_Status]],"Delivered","Completed","Processing","In Progress","other")</f>
        <v>Completed</v>
      </c>
      <c r="W5" s="3" t="str" cm="1">
        <f t="array" ref="W5">_xlfn.SWITCH(TRUE,Ecom[[#This Row],[Unit_Price]]&lt;500,"Low",Ecom[[#This Row],[Unit_Price]]&lt;1000,"Medium",Ecom[[#This Row],[Unit_Price]]&lt;5000,"High","Premium")</f>
        <v>High</v>
      </c>
    </row>
    <row r="6" spans="1:23" ht="18" thickBot="1" x14ac:dyDescent="0.3">
      <c r="A6" s="10" t="s">
        <v>38</v>
      </c>
      <c r="B6" s="5">
        <v>46076</v>
      </c>
      <c r="C6" s="4" t="s">
        <v>39</v>
      </c>
      <c r="D6" s="4" t="s">
        <v>40</v>
      </c>
      <c r="E6" s="4" t="s">
        <v>24</v>
      </c>
      <c r="F6" s="4" t="s">
        <v>25</v>
      </c>
      <c r="G6" s="4" t="s">
        <v>18</v>
      </c>
      <c r="H6" s="4">
        <v>2</v>
      </c>
      <c r="I6" s="16">
        <v>4500</v>
      </c>
      <c r="J6" s="6">
        <v>0</v>
      </c>
      <c r="K6" s="4" t="s">
        <v>41</v>
      </c>
      <c r="L6" s="4" t="s">
        <v>20</v>
      </c>
      <c r="M6" s="3" t="b">
        <f>(Ecom[[#This Row],[Category]]="Electronics")</f>
        <v>1</v>
      </c>
      <c r="N6" s="3" t="b">
        <f>OR(Ecom[[#This Row],[Quantity]]&gt;3,Ecom[[#This Row],[Unit_Price]]&gt;10000)</f>
        <v>0</v>
      </c>
      <c r="O6" s="3" t="b">
        <f>(Ecom[[#This Row],[Quantity]]&gt;3*Ecom[[#This Row],[Unit_Price]]&gt;10000)</f>
        <v>1</v>
      </c>
      <c r="P6" s="3">
        <f>(Ecom[[#This Row],[Quantity]]&gt;3)+(Ecom[[#This Row],[Unit_Price]]&gt;= 10000)</f>
        <v>0</v>
      </c>
      <c r="Q6" s="3">
        <f>IF(Ecom[[#This Row],[Returned]]="Yes",1,0)</f>
        <v>0</v>
      </c>
      <c r="R6" s="3" t="str">
        <f>IF(AND(Ecom[[#This Row],[Quantity]]&gt;=3,Ecom[[#This Row],[Unit_Price]]&gt;=10000),"Bulk and expensive","other")</f>
        <v>other</v>
      </c>
      <c r="S6" s="3" t="str">
        <f>IF(OR(Ecom[[#This Row],[Quantity]]&gt;=3,Ecom[[#This Row],[Unit_Price]]&gt;=10000),"Bulk and expensive","other")</f>
        <v>other</v>
      </c>
      <c r="T6" s="3" t="str">
        <f>IF(Ecom[[#This Row],[Unit_Price]]&lt;500,"Low",IF(Ecom[[#This Row],[Unit_Price]]&lt;1000,"Medium",IF(Ecom[[#This Row],[Unit_Price]]&lt;5000,"High","Premium")))</f>
        <v>High</v>
      </c>
      <c r="U6" s="3" t="str" cm="1">
        <f t="array" ref="U6">_xlfn.IFS(Ecom[[#This Row],[Unit_Price]]&lt;500,"Low",Ecom[[#This Row],[Unit_Price]]&lt;1000,"Medium",Ecom[[#This Row],[Unit_Price]]&lt;5000,"High",TRUE,"Premium")</f>
        <v>High</v>
      </c>
      <c r="V6" s="3" t="str" cm="1">
        <f t="array" ref="V6">_xlfn.SWITCH(Ecom[[#This Row],[Order_Status]],"Delivered","Completed","Processing","In Progress","other")</f>
        <v>other</v>
      </c>
      <c r="W6" s="3" t="str" cm="1">
        <f t="array" ref="W6">_xlfn.SWITCH(TRUE,Ecom[[#This Row],[Unit_Price]]&lt;500,"Low",Ecom[[#This Row],[Unit_Price]]&lt;1000,"Medium",Ecom[[#This Row],[Unit_Price]]&lt;5000,"High","Premium")</f>
        <v>High</v>
      </c>
    </row>
    <row r="7" spans="1:23" ht="18" thickBot="1" x14ac:dyDescent="0.3">
      <c r="A7" s="11" t="s">
        <v>42</v>
      </c>
      <c r="B7" s="8">
        <v>46227</v>
      </c>
      <c r="C7" s="7" t="s">
        <v>43</v>
      </c>
      <c r="D7" s="7" t="s">
        <v>44</v>
      </c>
      <c r="E7" s="7" t="s">
        <v>24</v>
      </c>
      <c r="F7" s="7" t="s">
        <v>45</v>
      </c>
      <c r="G7" s="7" t="s">
        <v>37</v>
      </c>
      <c r="H7" s="7">
        <v>4</v>
      </c>
      <c r="I7" s="17">
        <v>800</v>
      </c>
      <c r="J7" s="9">
        <v>0.1</v>
      </c>
      <c r="K7" s="7" t="s">
        <v>26</v>
      </c>
      <c r="L7" s="7" t="s">
        <v>20</v>
      </c>
      <c r="M7" s="3" t="b">
        <f>(Ecom[[#This Row],[Category]]="Electronics")</f>
        <v>0</v>
      </c>
      <c r="N7" s="3" t="b">
        <f>OR(Ecom[[#This Row],[Quantity]]&gt;3,Ecom[[#This Row],[Unit_Price]]&gt;10000)</f>
        <v>1</v>
      </c>
      <c r="O7" s="3" t="b">
        <f>(Ecom[[#This Row],[Quantity]]&gt;3*Ecom[[#This Row],[Unit_Price]]&gt;10000)</f>
        <v>1</v>
      </c>
      <c r="P7" s="3">
        <f>(Ecom[[#This Row],[Quantity]]&gt;3)+(Ecom[[#This Row],[Unit_Price]]&gt;= 10000)</f>
        <v>1</v>
      </c>
      <c r="Q7" s="3">
        <f>IF(Ecom[[#This Row],[Returned]]="Yes",1,0)</f>
        <v>0</v>
      </c>
      <c r="R7" s="3" t="str">
        <f>IF(AND(Ecom[[#This Row],[Quantity]]&gt;=3,Ecom[[#This Row],[Unit_Price]]&gt;=10000),"Bulk and expensive","other")</f>
        <v>other</v>
      </c>
      <c r="S7" s="3" t="str">
        <f>IF(OR(Ecom[[#This Row],[Quantity]]&gt;=3,Ecom[[#This Row],[Unit_Price]]&gt;=10000),"Bulk and expensive","other")</f>
        <v>Bulk and expensive</v>
      </c>
      <c r="T7" s="3" t="str">
        <f>IF(Ecom[[#This Row],[Unit_Price]]&lt;500,"Low",IF(Ecom[[#This Row],[Unit_Price]]&lt;1000,"Medium",IF(Ecom[[#This Row],[Unit_Price]]&lt;5000,"High","Premium")))</f>
        <v>Medium</v>
      </c>
      <c r="U7" s="3" t="str" cm="1">
        <f t="array" ref="U7">_xlfn.IFS(Ecom[[#This Row],[Unit_Price]]&lt;500,"Low",Ecom[[#This Row],[Unit_Price]]&lt;1000,"Medium",Ecom[[#This Row],[Unit_Price]]&lt;5000,"High",TRUE,"Premium")</f>
        <v>Medium</v>
      </c>
      <c r="V7" s="3" t="str" cm="1">
        <f t="array" ref="V7">_xlfn.SWITCH(Ecom[[#This Row],[Order_Status]],"Delivered","Completed","Processing","In Progress","other")</f>
        <v>In Progress</v>
      </c>
      <c r="W7" s="3" t="str" cm="1">
        <f t="array" ref="W7">_xlfn.SWITCH(TRUE,Ecom[[#This Row],[Unit_Price]]&lt;500,"Low",Ecom[[#This Row],[Unit_Price]]&lt;1000,"Medium",Ecom[[#This Row],[Unit_Price]]&lt;5000,"High","Premium")</f>
        <v>Medium</v>
      </c>
    </row>
    <row r="8" spans="1:23" ht="18" thickBot="1" x14ac:dyDescent="0.3">
      <c r="A8" s="10" t="s">
        <v>46</v>
      </c>
      <c r="B8" s="5">
        <v>46184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  <c r="H8" s="4">
        <v>2</v>
      </c>
      <c r="I8" s="16">
        <v>2200</v>
      </c>
      <c r="J8" s="6">
        <v>0</v>
      </c>
      <c r="K8" s="4" t="s">
        <v>12</v>
      </c>
      <c r="L8" s="4" t="s">
        <v>33</v>
      </c>
      <c r="M8" s="3" t="b">
        <f>(Ecom[[#This Row],[Category]]="Electronics")</f>
        <v>0</v>
      </c>
      <c r="N8" s="3" t="b">
        <f>OR(Ecom[[#This Row],[Quantity]]&gt;3,Ecom[[#This Row],[Unit_Price]]&gt;10000)</f>
        <v>0</v>
      </c>
      <c r="O8" s="3" t="b">
        <f>(Ecom[[#This Row],[Quantity]]&gt;3*Ecom[[#This Row],[Unit_Price]]&gt;10000)</f>
        <v>1</v>
      </c>
      <c r="P8" s="3">
        <f>(Ecom[[#This Row],[Quantity]]&gt;3)+(Ecom[[#This Row],[Unit_Price]]&gt;= 10000)</f>
        <v>0</v>
      </c>
      <c r="Q8" s="3">
        <f>IF(Ecom[[#This Row],[Returned]]="Yes",1,0)</f>
        <v>1</v>
      </c>
      <c r="R8" s="3" t="str">
        <f>IF(AND(Ecom[[#This Row],[Quantity]]&gt;=3,Ecom[[#This Row],[Unit_Price]]&gt;=10000),"Bulk and expensive","other")</f>
        <v>other</v>
      </c>
      <c r="S8" s="3" t="str">
        <f>IF(OR(Ecom[[#This Row],[Quantity]]&gt;=3,Ecom[[#This Row],[Unit_Price]]&gt;=10000),"Bulk and expensive","other")</f>
        <v>other</v>
      </c>
      <c r="T8" s="3" t="str">
        <f>IF(Ecom[[#This Row],[Unit_Price]]&lt;500,"Low",IF(Ecom[[#This Row],[Unit_Price]]&lt;1000,"Medium",IF(Ecom[[#This Row],[Unit_Price]]&lt;5000,"High","Premium")))</f>
        <v>High</v>
      </c>
      <c r="U8" s="3" t="str" cm="1">
        <f t="array" ref="U8">_xlfn.IFS(Ecom[[#This Row],[Unit_Price]]&lt;500,"Low",Ecom[[#This Row],[Unit_Price]]&lt;1000,"Medium",Ecom[[#This Row],[Unit_Price]]&lt;5000,"High",TRUE,"Premium")</f>
        <v>High</v>
      </c>
      <c r="V8" s="3" t="str" cm="1">
        <f t="array" ref="V8">_xlfn.SWITCH(Ecom[[#This Row],[Order_Status]],"Delivered","Completed","Processing","In Progress","other")</f>
        <v>other</v>
      </c>
      <c r="W8" s="3" t="str" cm="1">
        <f t="array" ref="W8">_xlfn.SWITCH(TRUE,Ecom[[#This Row],[Unit_Price]]&lt;500,"Low",Ecom[[#This Row],[Unit_Price]]&lt;1000,"Medium",Ecom[[#This Row],[Unit_Price]]&lt;5000,"High","Premium")</f>
        <v>High</v>
      </c>
    </row>
    <row r="9" spans="1:23" ht="18" thickBot="1" x14ac:dyDescent="0.3">
      <c r="A9" s="11" t="s">
        <v>52</v>
      </c>
      <c r="B9" s="8">
        <v>46243</v>
      </c>
      <c r="C9" s="7" t="s">
        <v>53</v>
      </c>
      <c r="D9" s="7" t="s">
        <v>48</v>
      </c>
      <c r="E9" s="7" t="s">
        <v>49</v>
      </c>
      <c r="F9" s="7" t="s">
        <v>36</v>
      </c>
      <c r="G9" s="7" t="s">
        <v>37</v>
      </c>
      <c r="H9" s="7">
        <v>2</v>
      </c>
      <c r="I9" s="17">
        <v>1200</v>
      </c>
      <c r="J9" s="9">
        <v>0.2</v>
      </c>
      <c r="K9" s="7" t="s">
        <v>19</v>
      </c>
      <c r="L9" s="7" t="s">
        <v>20</v>
      </c>
      <c r="M9" s="3" t="b">
        <f>(Ecom[[#This Row],[Category]]="Electronics")</f>
        <v>0</v>
      </c>
      <c r="N9" s="3" t="b">
        <f>OR(Ecom[[#This Row],[Quantity]]&gt;3,Ecom[[#This Row],[Unit_Price]]&gt;10000)</f>
        <v>0</v>
      </c>
      <c r="O9" s="3" t="b">
        <f>(Ecom[[#This Row],[Quantity]]&gt;3*Ecom[[#This Row],[Unit_Price]]&gt;10000)</f>
        <v>1</v>
      </c>
      <c r="P9" s="3">
        <f>(Ecom[[#This Row],[Quantity]]&gt;3)+(Ecom[[#This Row],[Unit_Price]]&gt;= 10000)</f>
        <v>0</v>
      </c>
      <c r="Q9" s="3">
        <f>IF(Ecom[[#This Row],[Returned]]="Yes",1,0)</f>
        <v>0</v>
      </c>
      <c r="R9" s="3" t="str">
        <f>IF(AND(Ecom[[#This Row],[Quantity]]&gt;=3,Ecom[[#This Row],[Unit_Price]]&gt;=10000),"Bulk and expensive","other")</f>
        <v>other</v>
      </c>
      <c r="S9" s="3" t="str">
        <f>IF(OR(Ecom[[#This Row],[Quantity]]&gt;=3,Ecom[[#This Row],[Unit_Price]]&gt;=10000),"Bulk and expensive","other")</f>
        <v>other</v>
      </c>
      <c r="T9" s="3" t="str">
        <f>IF(Ecom[[#This Row],[Unit_Price]]&lt;500,"Low",IF(Ecom[[#This Row],[Unit_Price]]&lt;1000,"Medium",IF(Ecom[[#This Row],[Unit_Price]]&lt;5000,"High","Premium")))</f>
        <v>High</v>
      </c>
      <c r="U9" s="3" t="str" cm="1">
        <f t="array" ref="U9">_xlfn.IFS(Ecom[[#This Row],[Unit_Price]]&lt;500,"Low",Ecom[[#This Row],[Unit_Price]]&lt;1000,"Medium",Ecom[[#This Row],[Unit_Price]]&lt;5000,"High",TRUE,"Premium")</f>
        <v>High</v>
      </c>
      <c r="V9" s="3" t="str" cm="1">
        <f t="array" ref="V9">_xlfn.SWITCH(Ecom[[#This Row],[Order_Status]],"Delivered","Completed","Processing","In Progress","other")</f>
        <v>Completed</v>
      </c>
      <c r="W9" s="3" t="str" cm="1">
        <f t="array" ref="W9">_xlfn.SWITCH(TRUE,Ecom[[#This Row],[Unit_Price]]&lt;500,"Low",Ecom[[#This Row],[Unit_Price]]&lt;1000,"Medium",Ecom[[#This Row],[Unit_Price]]&lt;5000,"High","Premium")</f>
        <v>High</v>
      </c>
    </row>
    <row r="10" spans="1:23" ht="18" thickBot="1" x14ac:dyDescent="0.3">
      <c r="A10" s="10" t="s">
        <v>54</v>
      </c>
      <c r="B10" s="5">
        <v>46202</v>
      </c>
      <c r="C10" s="4" t="s">
        <v>55</v>
      </c>
      <c r="D10" s="4" t="s">
        <v>56</v>
      </c>
      <c r="E10" s="4" t="s">
        <v>30</v>
      </c>
      <c r="F10" s="4" t="s">
        <v>57</v>
      </c>
      <c r="G10" s="4" t="s">
        <v>18</v>
      </c>
      <c r="H10" s="4">
        <v>1</v>
      </c>
      <c r="I10" s="16">
        <v>55000</v>
      </c>
      <c r="J10" s="6">
        <v>0.05</v>
      </c>
      <c r="K10" s="4" t="s">
        <v>26</v>
      </c>
      <c r="L10" s="4" t="s">
        <v>20</v>
      </c>
      <c r="M10" s="3" t="b">
        <f>(Ecom[[#This Row],[Category]]="Electronics")</f>
        <v>1</v>
      </c>
      <c r="N10" s="3" t="b">
        <f>OR(Ecom[[#This Row],[Quantity]]&gt;3,Ecom[[#This Row],[Unit_Price]]&gt;10000)</f>
        <v>1</v>
      </c>
      <c r="O10" s="3" t="b">
        <f>(Ecom[[#This Row],[Quantity]]&gt;3*Ecom[[#This Row],[Unit_Price]]&gt;10000)</f>
        <v>1</v>
      </c>
      <c r="P10" s="3">
        <f>(Ecom[[#This Row],[Quantity]]&gt;3)+(Ecom[[#This Row],[Unit_Price]]&gt;= 10000)</f>
        <v>1</v>
      </c>
      <c r="Q10" s="3">
        <f>IF(Ecom[[#This Row],[Returned]]="Yes",1,0)</f>
        <v>0</v>
      </c>
      <c r="R10" s="3" t="str">
        <f>IF(AND(Ecom[[#This Row],[Quantity]]&gt;=3,Ecom[[#This Row],[Unit_Price]]&gt;=10000),"Bulk and expensive","other")</f>
        <v>other</v>
      </c>
      <c r="S10" s="3" t="str">
        <f>IF(OR(Ecom[[#This Row],[Quantity]]&gt;=3,Ecom[[#This Row],[Unit_Price]]&gt;=10000),"Bulk and expensive","other")</f>
        <v>Bulk and expensive</v>
      </c>
      <c r="T10" s="3" t="str">
        <f>IF(Ecom[[#This Row],[Unit_Price]]&lt;500,"Low",IF(Ecom[[#This Row],[Unit_Price]]&lt;1000,"Medium",IF(Ecom[[#This Row],[Unit_Price]]&lt;5000,"High","Premium")))</f>
        <v>Premium</v>
      </c>
      <c r="U10" s="3" t="str" cm="1">
        <f t="array" ref="U10">_xlfn.IFS(Ecom[[#This Row],[Unit_Price]]&lt;500,"Low",Ecom[[#This Row],[Unit_Price]]&lt;1000,"Medium",Ecom[[#This Row],[Unit_Price]]&lt;5000,"High",TRUE,"Premium")</f>
        <v>Premium</v>
      </c>
      <c r="V10" s="3" t="str" cm="1">
        <f t="array" ref="V10">_xlfn.SWITCH(Ecom[[#This Row],[Order_Status]],"Delivered","Completed","Processing","In Progress","other")</f>
        <v>In Progress</v>
      </c>
      <c r="W10" s="3" t="str" cm="1">
        <f t="array" ref="W10">_xlfn.SWITCH(TRUE,Ecom[[#This Row],[Unit_Price]]&lt;500,"Low",Ecom[[#This Row],[Unit_Price]]&lt;1000,"Medium",Ecom[[#This Row],[Unit_Price]]&lt;5000,"High","Premium")</f>
        <v>Premium</v>
      </c>
    </row>
    <row r="11" spans="1:23" ht="18" thickBot="1" x14ac:dyDescent="0.3">
      <c r="A11" s="11" t="s">
        <v>58</v>
      </c>
      <c r="B11" s="8">
        <v>46042</v>
      </c>
      <c r="C11" s="7" t="s">
        <v>59</v>
      </c>
      <c r="D11" s="7" t="s">
        <v>60</v>
      </c>
      <c r="E11" s="7" t="s">
        <v>24</v>
      </c>
      <c r="F11" s="7" t="s">
        <v>50</v>
      </c>
      <c r="G11" s="7" t="s">
        <v>51</v>
      </c>
      <c r="H11" s="7">
        <v>1</v>
      </c>
      <c r="I11" s="17">
        <v>2200</v>
      </c>
      <c r="J11" s="9">
        <v>0.2</v>
      </c>
      <c r="K11" s="7" t="s">
        <v>19</v>
      </c>
      <c r="L11" s="7" t="s">
        <v>20</v>
      </c>
      <c r="M11" s="3" t="b">
        <f>(Ecom[[#This Row],[Category]]="Electronics")</f>
        <v>0</v>
      </c>
      <c r="N11" s="3" t="b">
        <f>OR(Ecom[[#This Row],[Quantity]]&gt;3,Ecom[[#This Row],[Unit_Price]]&gt;10000)</f>
        <v>0</v>
      </c>
      <c r="O11" s="3" t="b">
        <f>(Ecom[[#This Row],[Quantity]]&gt;3*Ecom[[#This Row],[Unit_Price]]&gt;10000)</f>
        <v>1</v>
      </c>
      <c r="P11" s="3">
        <f>(Ecom[[#This Row],[Quantity]]&gt;3)+(Ecom[[#This Row],[Unit_Price]]&gt;= 10000)</f>
        <v>0</v>
      </c>
      <c r="Q11" s="3">
        <f>IF(Ecom[[#This Row],[Returned]]="Yes",1,0)</f>
        <v>0</v>
      </c>
      <c r="R11" s="3" t="str">
        <f>IF(AND(Ecom[[#This Row],[Quantity]]&gt;=3,Ecom[[#This Row],[Unit_Price]]&gt;=10000),"Bulk and expensive","other")</f>
        <v>other</v>
      </c>
      <c r="S11" s="3" t="str">
        <f>IF(OR(Ecom[[#This Row],[Quantity]]&gt;=3,Ecom[[#This Row],[Unit_Price]]&gt;=10000),"Bulk and expensive","other")</f>
        <v>other</v>
      </c>
      <c r="T11" s="3" t="str">
        <f>IF(Ecom[[#This Row],[Unit_Price]]&lt;500,"Low",IF(Ecom[[#This Row],[Unit_Price]]&lt;1000,"Medium",IF(Ecom[[#This Row],[Unit_Price]]&lt;5000,"High","Premium")))</f>
        <v>High</v>
      </c>
      <c r="U11" s="3" t="str" cm="1">
        <f t="array" ref="U11">_xlfn.IFS(Ecom[[#This Row],[Unit_Price]]&lt;500,"Low",Ecom[[#This Row],[Unit_Price]]&lt;1000,"Medium",Ecom[[#This Row],[Unit_Price]]&lt;5000,"High",TRUE,"Premium")</f>
        <v>High</v>
      </c>
      <c r="V11" s="3" t="str" cm="1">
        <f t="array" ref="V11">_xlfn.SWITCH(Ecom[[#This Row],[Order_Status]],"Delivered","Completed","Processing","In Progress","other")</f>
        <v>Completed</v>
      </c>
      <c r="W11" s="3" t="str" cm="1">
        <f t="array" ref="W11">_xlfn.SWITCH(TRUE,Ecom[[#This Row],[Unit_Price]]&lt;500,"Low",Ecom[[#This Row],[Unit_Price]]&lt;1000,"Medium",Ecom[[#This Row],[Unit_Price]]&lt;5000,"High","Premium")</f>
        <v>High</v>
      </c>
    </row>
    <row r="12" spans="1:23" ht="18" thickBot="1" x14ac:dyDescent="0.3">
      <c r="A12" s="10" t="s">
        <v>61</v>
      </c>
      <c r="B12" s="5">
        <v>46197</v>
      </c>
      <c r="C12" s="4" t="s">
        <v>62</v>
      </c>
      <c r="D12" s="4" t="s">
        <v>63</v>
      </c>
      <c r="E12" s="4" t="s">
        <v>16</v>
      </c>
      <c r="F12" s="4" t="s">
        <v>31</v>
      </c>
      <c r="G12" s="4" t="s">
        <v>32</v>
      </c>
      <c r="H12" s="4">
        <v>1</v>
      </c>
      <c r="I12" s="16">
        <v>1800</v>
      </c>
      <c r="J12" s="6">
        <v>0.2</v>
      </c>
      <c r="K12" s="4" t="s">
        <v>26</v>
      </c>
      <c r="L12" s="4" t="s">
        <v>20</v>
      </c>
      <c r="M12" s="3" t="b">
        <f>(Ecom[[#This Row],[Category]]="Electronics")</f>
        <v>0</v>
      </c>
      <c r="N12" s="3" t="b">
        <f>OR(Ecom[[#This Row],[Quantity]]&gt;3,Ecom[[#This Row],[Unit_Price]]&gt;10000)</f>
        <v>0</v>
      </c>
      <c r="O12" s="3" t="b">
        <f>(Ecom[[#This Row],[Quantity]]&gt;3*Ecom[[#This Row],[Unit_Price]]&gt;10000)</f>
        <v>1</v>
      </c>
      <c r="P12" s="3">
        <f>(Ecom[[#This Row],[Quantity]]&gt;3)+(Ecom[[#This Row],[Unit_Price]]&gt;= 10000)</f>
        <v>0</v>
      </c>
      <c r="Q12" s="3">
        <f>IF(Ecom[[#This Row],[Returned]]="Yes",1,0)</f>
        <v>0</v>
      </c>
      <c r="R12" s="3" t="str">
        <f>IF(AND(Ecom[[#This Row],[Quantity]]&gt;=3,Ecom[[#This Row],[Unit_Price]]&gt;=10000),"Bulk and expensive","other")</f>
        <v>other</v>
      </c>
      <c r="S12" s="3" t="str">
        <f>IF(OR(Ecom[[#This Row],[Quantity]]&gt;=3,Ecom[[#This Row],[Unit_Price]]&gt;=10000),"Bulk and expensive","other")</f>
        <v>other</v>
      </c>
      <c r="T12" s="3" t="str">
        <f>IF(Ecom[[#This Row],[Unit_Price]]&lt;500,"Low",IF(Ecom[[#This Row],[Unit_Price]]&lt;1000,"Medium",IF(Ecom[[#This Row],[Unit_Price]]&lt;5000,"High","Premium")))</f>
        <v>High</v>
      </c>
      <c r="U12" s="3" t="str" cm="1">
        <f t="array" ref="U12">_xlfn.IFS(Ecom[[#This Row],[Unit_Price]]&lt;500,"Low",Ecom[[#This Row],[Unit_Price]]&lt;1000,"Medium",Ecom[[#This Row],[Unit_Price]]&lt;5000,"High",TRUE,"Premium")</f>
        <v>High</v>
      </c>
      <c r="V12" s="3" t="str" cm="1">
        <f t="array" ref="V12">_xlfn.SWITCH(Ecom[[#This Row],[Order_Status]],"Delivered","Completed","Processing","In Progress","other")</f>
        <v>In Progress</v>
      </c>
      <c r="W12" s="3" t="str" cm="1">
        <f t="array" ref="W12">_xlfn.SWITCH(TRUE,Ecom[[#This Row],[Unit_Price]]&lt;500,"Low",Ecom[[#This Row],[Unit_Price]]&lt;1000,"Medium",Ecom[[#This Row],[Unit_Price]]&lt;5000,"High","Premium")</f>
        <v>High</v>
      </c>
    </row>
    <row r="13" spans="1:23" ht="18" thickBot="1" x14ac:dyDescent="0.3">
      <c r="A13" s="11" t="s">
        <v>64</v>
      </c>
      <c r="B13" s="8">
        <v>46143</v>
      </c>
      <c r="C13" s="7" t="s">
        <v>65</v>
      </c>
      <c r="D13" s="7" t="s">
        <v>15</v>
      </c>
      <c r="E13" s="7" t="s">
        <v>16</v>
      </c>
      <c r="F13" s="7" t="s">
        <v>57</v>
      </c>
      <c r="G13" s="7" t="s">
        <v>18</v>
      </c>
      <c r="H13" s="7">
        <v>1</v>
      </c>
      <c r="I13" s="17">
        <v>55000</v>
      </c>
      <c r="J13" s="9">
        <v>0</v>
      </c>
      <c r="K13" s="7" t="s">
        <v>19</v>
      </c>
      <c r="L13" s="7" t="s">
        <v>20</v>
      </c>
      <c r="M13" s="3" t="b">
        <f>(Ecom[[#This Row],[Category]]="Electronics")</f>
        <v>1</v>
      </c>
      <c r="N13" s="3" t="b">
        <f>OR(Ecom[[#This Row],[Quantity]]&gt;3,Ecom[[#This Row],[Unit_Price]]&gt;10000)</f>
        <v>1</v>
      </c>
      <c r="O13" s="3" t="b">
        <f>(Ecom[[#This Row],[Quantity]]&gt;3*Ecom[[#This Row],[Unit_Price]]&gt;10000)</f>
        <v>1</v>
      </c>
      <c r="P13" s="3">
        <f>(Ecom[[#This Row],[Quantity]]&gt;3)+(Ecom[[#This Row],[Unit_Price]]&gt;= 10000)</f>
        <v>1</v>
      </c>
      <c r="Q13" s="3">
        <f>IF(Ecom[[#This Row],[Returned]]="Yes",1,0)</f>
        <v>0</v>
      </c>
      <c r="R13" s="3" t="str">
        <f>IF(AND(Ecom[[#This Row],[Quantity]]&gt;=3,Ecom[[#This Row],[Unit_Price]]&gt;=10000),"Bulk and expensive","other")</f>
        <v>other</v>
      </c>
      <c r="S13" s="3" t="str">
        <f>IF(OR(Ecom[[#This Row],[Quantity]]&gt;=3,Ecom[[#This Row],[Unit_Price]]&gt;=10000),"Bulk and expensive","other")</f>
        <v>Bulk and expensive</v>
      </c>
      <c r="T13" s="3" t="str">
        <f>IF(Ecom[[#This Row],[Unit_Price]]&lt;500,"Low",IF(Ecom[[#This Row],[Unit_Price]]&lt;1000,"Medium",IF(Ecom[[#This Row],[Unit_Price]]&lt;5000,"High","Premium")))</f>
        <v>Premium</v>
      </c>
      <c r="U13" s="3" t="str" cm="1">
        <f t="array" ref="U13">_xlfn.IFS(Ecom[[#This Row],[Unit_Price]]&lt;500,"Low",Ecom[[#This Row],[Unit_Price]]&lt;1000,"Medium",Ecom[[#This Row],[Unit_Price]]&lt;5000,"High",TRUE,"Premium")</f>
        <v>Premium</v>
      </c>
      <c r="V13" s="3" t="str" cm="1">
        <f t="array" ref="V13">_xlfn.SWITCH(Ecom[[#This Row],[Order_Status]],"Delivered","Completed","Processing","In Progress","other")</f>
        <v>Completed</v>
      </c>
      <c r="W13" s="3" t="str" cm="1">
        <f t="array" ref="W13">_xlfn.SWITCH(TRUE,Ecom[[#This Row],[Unit_Price]]&lt;500,"Low",Ecom[[#This Row],[Unit_Price]]&lt;1000,"Medium",Ecom[[#This Row],[Unit_Price]]&lt;5000,"High","Premium")</f>
        <v>Premium</v>
      </c>
    </row>
    <row r="14" spans="1:23" ht="18" thickBot="1" x14ac:dyDescent="0.3">
      <c r="A14" s="10" t="s">
        <v>66</v>
      </c>
      <c r="B14" s="5">
        <v>46095</v>
      </c>
      <c r="C14" s="4" t="s">
        <v>67</v>
      </c>
      <c r="D14" s="4" t="s">
        <v>44</v>
      </c>
      <c r="E14" s="4" t="s">
        <v>24</v>
      </c>
      <c r="F14" s="4" t="s">
        <v>50</v>
      </c>
      <c r="G14" s="4" t="s">
        <v>51</v>
      </c>
      <c r="H14" s="4">
        <v>5</v>
      </c>
      <c r="I14" s="16">
        <v>2200</v>
      </c>
      <c r="J14" s="6">
        <v>0.2</v>
      </c>
      <c r="K14" s="4" t="s">
        <v>12</v>
      </c>
      <c r="L14" s="4" t="s">
        <v>33</v>
      </c>
      <c r="M14" s="3" t="b">
        <f>(Ecom[[#This Row],[Category]]="Electronics")</f>
        <v>0</v>
      </c>
      <c r="N14" s="3" t="b">
        <f>OR(Ecom[[#This Row],[Quantity]]&gt;3,Ecom[[#This Row],[Unit_Price]]&gt;10000)</f>
        <v>1</v>
      </c>
      <c r="O14" s="3" t="b">
        <f>(Ecom[[#This Row],[Quantity]]&gt;3*Ecom[[#This Row],[Unit_Price]]&gt;10000)</f>
        <v>1</v>
      </c>
      <c r="P14" s="3">
        <f>(Ecom[[#This Row],[Quantity]]&gt;3)+(Ecom[[#This Row],[Unit_Price]]&gt;= 10000)</f>
        <v>1</v>
      </c>
      <c r="Q14" s="3">
        <f>IF(Ecom[[#This Row],[Returned]]="Yes",1,0)</f>
        <v>1</v>
      </c>
      <c r="R14" s="3" t="str">
        <f>IF(AND(Ecom[[#This Row],[Quantity]]&gt;=3,Ecom[[#This Row],[Unit_Price]]&gt;=10000),"Bulk and expensive","other")</f>
        <v>other</v>
      </c>
      <c r="S14" s="3" t="str">
        <f>IF(OR(Ecom[[#This Row],[Quantity]]&gt;=3,Ecom[[#This Row],[Unit_Price]]&gt;=10000),"Bulk and expensive","other")</f>
        <v>Bulk and expensive</v>
      </c>
      <c r="T14" s="3" t="str">
        <f>IF(Ecom[[#This Row],[Unit_Price]]&lt;500,"Low",IF(Ecom[[#This Row],[Unit_Price]]&lt;1000,"Medium",IF(Ecom[[#This Row],[Unit_Price]]&lt;5000,"High","Premium")))</f>
        <v>High</v>
      </c>
      <c r="U14" s="3" t="str" cm="1">
        <f t="array" ref="U14">_xlfn.IFS(Ecom[[#This Row],[Unit_Price]]&lt;500,"Low",Ecom[[#This Row],[Unit_Price]]&lt;1000,"Medium",Ecom[[#This Row],[Unit_Price]]&lt;5000,"High",TRUE,"Premium")</f>
        <v>High</v>
      </c>
      <c r="V14" s="3" t="str" cm="1">
        <f t="array" ref="V14">_xlfn.SWITCH(Ecom[[#This Row],[Order_Status]],"Delivered","Completed","Processing","In Progress","other")</f>
        <v>other</v>
      </c>
      <c r="W14" s="3" t="str" cm="1">
        <f t="array" ref="W14">_xlfn.SWITCH(TRUE,Ecom[[#This Row],[Unit_Price]]&lt;500,"Low",Ecom[[#This Row],[Unit_Price]]&lt;1000,"Medium",Ecom[[#This Row],[Unit_Price]]&lt;5000,"High","Premium")</f>
        <v>High</v>
      </c>
    </row>
    <row r="15" spans="1:23" ht="18" thickBot="1" x14ac:dyDescent="0.3">
      <c r="A15" s="11" t="s">
        <v>68</v>
      </c>
      <c r="B15" s="8">
        <v>46148</v>
      </c>
      <c r="C15" s="7" t="s">
        <v>69</v>
      </c>
      <c r="D15" s="7" t="s">
        <v>60</v>
      </c>
      <c r="E15" s="7" t="s">
        <v>24</v>
      </c>
      <c r="F15" s="7" t="s">
        <v>57</v>
      </c>
      <c r="G15" s="7" t="s">
        <v>18</v>
      </c>
      <c r="H15" s="7">
        <v>4</v>
      </c>
      <c r="I15" s="17">
        <v>55000</v>
      </c>
      <c r="J15" s="9">
        <v>0.1</v>
      </c>
      <c r="K15" s="7" t="s">
        <v>19</v>
      </c>
      <c r="L15" s="7" t="s">
        <v>20</v>
      </c>
      <c r="M15" s="3" t="b">
        <f>(Ecom[[#This Row],[Category]]="Electronics")</f>
        <v>1</v>
      </c>
      <c r="N15" s="3" t="b">
        <f>OR(Ecom[[#This Row],[Quantity]]&gt;3,Ecom[[#This Row],[Unit_Price]]&gt;10000)</f>
        <v>1</v>
      </c>
      <c r="O15" s="3" t="b">
        <f>(Ecom[[#This Row],[Quantity]]&gt;3*Ecom[[#This Row],[Unit_Price]]&gt;10000)</f>
        <v>1</v>
      </c>
      <c r="P15" s="3">
        <f>(Ecom[[#This Row],[Quantity]]&gt;3)+(Ecom[[#This Row],[Unit_Price]]&gt;= 10000)</f>
        <v>2</v>
      </c>
      <c r="Q15" s="3">
        <f>IF(Ecom[[#This Row],[Returned]]="Yes",1,0)</f>
        <v>0</v>
      </c>
      <c r="R15" s="3" t="str">
        <f>IF(AND(Ecom[[#This Row],[Quantity]]&gt;=3,Ecom[[#This Row],[Unit_Price]]&gt;=10000),"Bulk and expensive","other")</f>
        <v>Bulk and expensive</v>
      </c>
      <c r="S15" s="3" t="str">
        <f>IF(OR(Ecom[[#This Row],[Quantity]]&gt;=3,Ecom[[#This Row],[Unit_Price]]&gt;=10000),"Bulk and expensive","other")</f>
        <v>Bulk and expensive</v>
      </c>
      <c r="T15" s="3" t="str">
        <f>IF(Ecom[[#This Row],[Unit_Price]]&lt;500,"Low",IF(Ecom[[#This Row],[Unit_Price]]&lt;1000,"Medium",IF(Ecom[[#This Row],[Unit_Price]]&lt;5000,"High","Premium")))</f>
        <v>Premium</v>
      </c>
      <c r="U15" s="3" t="str" cm="1">
        <f t="array" ref="U15">_xlfn.IFS(Ecom[[#This Row],[Unit_Price]]&lt;500,"Low",Ecom[[#This Row],[Unit_Price]]&lt;1000,"Medium",Ecom[[#This Row],[Unit_Price]]&lt;5000,"High",TRUE,"Premium")</f>
        <v>Premium</v>
      </c>
      <c r="V15" s="3" t="str" cm="1">
        <f t="array" ref="V15">_xlfn.SWITCH(Ecom[[#This Row],[Order_Status]],"Delivered","Completed","Processing","In Progress","other")</f>
        <v>Completed</v>
      </c>
      <c r="W15" s="3" t="str" cm="1">
        <f t="array" ref="W15">_xlfn.SWITCH(TRUE,Ecom[[#This Row],[Unit_Price]]&lt;500,"Low",Ecom[[#This Row],[Unit_Price]]&lt;1000,"Medium",Ecom[[#This Row],[Unit_Price]]&lt;5000,"High","Premium")</f>
        <v>Premium</v>
      </c>
    </row>
    <row r="16" spans="1:23" ht="18" thickBot="1" x14ac:dyDescent="0.3">
      <c r="A16" s="10" t="s">
        <v>70</v>
      </c>
      <c r="B16" s="5">
        <v>46140</v>
      </c>
      <c r="C16" s="4" t="s">
        <v>71</v>
      </c>
      <c r="D16" s="4" t="s">
        <v>23</v>
      </c>
      <c r="E16" s="4" t="s">
        <v>24</v>
      </c>
      <c r="F16" s="4" t="s">
        <v>45</v>
      </c>
      <c r="G16" s="4" t="s">
        <v>37</v>
      </c>
      <c r="H16" s="4">
        <v>2</v>
      </c>
      <c r="I16" s="16">
        <v>800</v>
      </c>
      <c r="J16" s="6">
        <v>0.15</v>
      </c>
      <c r="K16" s="4" t="s">
        <v>41</v>
      </c>
      <c r="L16" s="4" t="s">
        <v>20</v>
      </c>
      <c r="M16" s="3" t="b">
        <f>(Ecom[[#This Row],[Category]]="Electronics")</f>
        <v>0</v>
      </c>
      <c r="N16" s="3" t="b">
        <f>OR(Ecom[[#This Row],[Quantity]]&gt;3,Ecom[[#This Row],[Unit_Price]]&gt;10000)</f>
        <v>0</v>
      </c>
      <c r="O16" s="3" t="b">
        <f>(Ecom[[#This Row],[Quantity]]&gt;3*Ecom[[#This Row],[Unit_Price]]&gt;10000)</f>
        <v>1</v>
      </c>
      <c r="P16" s="3">
        <f>(Ecom[[#This Row],[Quantity]]&gt;3)+(Ecom[[#This Row],[Unit_Price]]&gt;= 10000)</f>
        <v>0</v>
      </c>
      <c r="Q16" s="3">
        <f>IF(Ecom[[#This Row],[Returned]]="Yes",1,0)</f>
        <v>0</v>
      </c>
      <c r="R16" s="3" t="str">
        <f>IF(AND(Ecom[[#This Row],[Quantity]]&gt;=3,Ecom[[#This Row],[Unit_Price]]&gt;=10000),"Bulk and expensive","other")</f>
        <v>other</v>
      </c>
      <c r="S16" s="3" t="str">
        <f>IF(OR(Ecom[[#This Row],[Quantity]]&gt;=3,Ecom[[#This Row],[Unit_Price]]&gt;=10000),"Bulk and expensive","other")</f>
        <v>other</v>
      </c>
      <c r="T16" s="3" t="str">
        <f>IF(Ecom[[#This Row],[Unit_Price]]&lt;500,"Low",IF(Ecom[[#This Row],[Unit_Price]]&lt;1000,"Medium",IF(Ecom[[#This Row],[Unit_Price]]&lt;5000,"High","Premium")))</f>
        <v>Medium</v>
      </c>
      <c r="U16" s="3" t="str" cm="1">
        <f t="array" ref="U16">_xlfn.IFS(Ecom[[#This Row],[Unit_Price]]&lt;500,"Low",Ecom[[#This Row],[Unit_Price]]&lt;1000,"Medium",Ecom[[#This Row],[Unit_Price]]&lt;5000,"High",TRUE,"Premium")</f>
        <v>Medium</v>
      </c>
      <c r="V16" s="3" t="str" cm="1">
        <f t="array" ref="V16">_xlfn.SWITCH(Ecom[[#This Row],[Order_Status]],"Delivered","Completed","Processing","In Progress","other")</f>
        <v>other</v>
      </c>
      <c r="W16" s="3" t="str" cm="1">
        <f t="array" ref="W16">_xlfn.SWITCH(TRUE,Ecom[[#This Row],[Unit_Price]]&lt;500,"Low",Ecom[[#This Row],[Unit_Price]]&lt;1000,"Medium",Ecom[[#This Row],[Unit_Price]]&lt;5000,"High","Premium")</f>
        <v>Medium</v>
      </c>
    </row>
    <row r="17" spans="1:23" ht="18" thickBot="1" x14ac:dyDescent="0.3">
      <c r="A17" s="11" t="s">
        <v>72</v>
      </c>
      <c r="B17" s="8">
        <v>46073</v>
      </c>
      <c r="C17" s="7" t="s">
        <v>73</v>
      </c>
      <c r="D17" s="7" t="s">
        <v>74</v>
      </c>
      <c r="E17" s="7" t="s">
        <v>49</v>
      </c>
      <c r="F17" s="7" t="s">
        <v>36</v>
      </c>
      <c r="G17" s="7" t="s">
        <v>37</v>
      </c>
      <c r="H17" s="7">
        <v>2</v>
      </c>
      <c r="I17" s="17">
        <v>1200</v>
      </c>
      <c r="J17" s="9">
        <v>0.2</v>
      </c>
      <c r="K17" s="7" t="s">
        <v>75</v>
      </c>
      <c r="L17" s="7" t="s">
        <v>33</v>
      </c>
      <c r="M17" s="3" t="b">
        <f>(Ecom[[#This Row],[Category]]="Electronics")</f>
        <v>0</v>
      </c>
      <c r="N17" s="3" t="b">
        <f>OR(Ecom[[#This Row],[Quantity]]&gt;3,Ecom[[#This Row],[Unit_Price]]&gt;10000)</f>
        <v>0</v>
      </c>
      <c r="O17" s="3" t="b">
        <f>(Ecom[[#This Row],[Quantity]]&gt;3*Ecom[[#This Row],[Unit_Price]]&gt;10000)</f>
        <v>1</v>
      </c>
      <c r="P17" s="3">
        <f>(Ecom[[#This Row],[Quantity]]&gt;3)+(Ecom[[#This Row],[Unit_Price]]&gt;= 10000)</f>
        <v>0</v>
      </c>
      <c r="Q17" s="3">
        <f>IF(Ecom[[#This Row],[Returned]]="Yes",1,0)</f>
        <v>1</v>
      </c>
      <c r="R17" s="3" t="str">
        <f>IF(AND(Ecom[[#This Row],[Quantity]]&gt;=3,Ecom[[#This Row],[Unit_Price]]&gt;=10000),"Bulk and expensive","other")</f>
        <v>other</v>
      </c>
      <c r="S17" s="3" t="str">
        <f>IF(OR(Ecom[[#This Row],[Quantity]]&gt;=3,Ecom[[#This Row],[Unit_Price]]&gt;=10000),"Bulk and expensive","other")</f>
        <v>other</v>
      </c>
      <c r="T17" s="3" t="str">
        <f>IF(Ecom[[#This Row],[Unit_Price]]&lt;500,"Low",IF(Ecom[[#This Row],[Unit_Price]]&lt;1000,"Medium",IF(Ecom[[#This Row],[Unit_Price]]&lt;5000,"High","Premium")))</f>
        <v>High</v>
      </c>
      <c r="U17" s="3" t="str" cm="1">
        <f t="array" ref="U17">_xlfn.IFS(Ecom[[#This Row],[Unit_Price]]&lt;500,"Low",Ecom[[#This Row],[Unit_Price]]&lt;1000,"Medium",Ecom[[#This Row],[Unit_Price]]&lt;5000,"High",TRUE,"Premium")</f>
        <v>High</v>
      </c>
      <c r="V17" s="3" t="str" cm="1">
        <f t="array" ref="V17">_xlfn.SWITCH(Ecom[[#This Row],[Order_Status]],"Delivered","Completed","Processing","In Progress","other")</f>
        <v>other</v>
      </c>
      <c r="W17" s="3" t="str" cm="1">
        <f t="array" ref="W17">_xlfn.SWITCH(TRUE,Ecom[[#This Row],[Unit_Price]]&lt;500,"Low",Ecom[[#This Row],[Unit_Price]]&lt;1000,"Medium",Ecom[[#This Row],[Unit_Price]]&lt;5000,"High","Premium")</f>
        <v>High</v>
      </c>
    </row>
    <row r="18" spans="1:23" ht="18" thickBot="1" x14ac:dyDescent="0.3">
      <c r="A18" s="10" t="s">
        <v>76</v>
      </c>
      <c r="B18" s="5">
        <v>46041</v>
      </c>
      <c r="C18" s="4" t="s">
        <v>77</v>
      </c>
      <c r="D18" s="4" t="s">
        <v>60</v>
      </c>
      <c r="E18" s="4" t="s">
        <v>24</v>
      </c>
      <c r="F18" s="4" t="s">
        <v>78</v>
      </c>
      <c r="G18" s="4" t="s">
        <v>18</v>
      </c>
      <c r="H18" s="4">
        <v>3</v>
      </c>
      <c r="I18" s="16">
        <v>18000</v>
      </c>
      <c r="J18" s="6">
        <v>0.15</v>
      </c>
      <c r="K18" s="4" t="s">
        <v>19</v>
      </c>
      <c r="L18" s="4" t="s">
        <v>20</v>
      </c>
      <c r="M18" s="3" t="b">
        <f>(Ecom[[#This Row],[Category]]="Electronics")</f>
        <v>1</v>
      </c>
      <c r="N18" s="3" t="b">
        <f>OR(Ecom[[#This Row],[Quantity]]&gt;3,Ecom[[#This Row],[Unit_Price]]&gt;10000)</f>
        <v>1</v>
      </c>
      <c r="O18" s="3" t="b">
        <f>(Ecom[[#This Row],[Quantity]]&gt;3*Ecom[[#This Row],[Unit_Price]]&gt;10000)</f>
        <v>1</v>
      </c>
      <c r="P18" s="3">
        <f>(Ecom[[#This Row],[Quantity]]&gt;3)+(Ecom[[#This Row],[Unit_Price]]&gt;= 10000)</f>
        <v>1</v>
      </c>
      <c r="Q18" s="3">
        <f>IF(Ecom[[#This Row],[Returned]]="Yes",1,0)</f>
        <v>0</v>
      </c>
      <c r="R18" s="3" t="str">
        <f>IF(AND(Ecom[[#This Row],[Quantity]]&gt;=3,Ecom[[#This Row],[Unit_Price]]&gt;=10000),"Bulk and expensive","other")</f>
        <v>Bulk and expensive</v>
      </c>
      <c r="S18" s="3" t="str">
        <f>IF(OR(Ecom[[#This Row],[Quantity]]&gt;=3,Ecom[[#This Row],[Unit_Price]]&gt;=10000),"Bulk and expensive","other")</f>
        <v>Bulk and expensive</v>
      </c>
      <c r="T18" s="3" t="str">
        <f>IF(Ecom[[#This Row],[Unit_Price]]&lt;500,"Low",IF(Ecom[[#This Row],[Unit_Price]]&lt;1000,"Medium",IF(Ecom[[#This Row],[Unit_Price]]&lt;5000,"High","Premium")))</f>
        <v>Premium</v>
      </c>
      <c r="U18" s="3" t="str" cm="1">
        <f t="array" ref="U18">_xlfn.IFS(Ecom[[#This Row],[Unit_Price]]&lt;500,"Low",Ecom[[#This Row],[Unit_Price]]&lt;1000,"Medium",Ecom[[#This Row],[Unit_Price]]&lt;5000,"High",TRUE,"Premium")</f>
        <v>Premium</v>
      </c>
      <c r="V18" s="3" t="str" cm="1">
        <f t="array" ref="V18">_xlfn.SWITCH(Ecom[[#This Row],[Order_Status]],"Delivered","Completed","Processing","In Progress","other")</f>
        <v>Completed</v>
      </c>
      <c r="W18" s="3" t="str" cm="1">
        <f t="array" ref="W18">_xlfn.SWITCH(TRUE,Ecom[[#This Row],[Unit_Price]]&lt;500,"Low",Ecom[[#This Row],[Unit_Price]]&lt;1000,"Medium",Ecom[[#This Row],[Unit_Price]]&lt;5000,"High","Premium")</f>
        <v>Premium</v>
      </c>
    </row>
    <row r="19" spans="1:23" ht="18" thickBot="1" x14ac:dyDescent="0.3">
      <c r="A19" s="11" t="s">
        <v>79</v>
      </c>
      <c r="B19" s="8">
        <v>46150</v>
      </c>
      <c r="C19" s="7" t="s">
        <v>80</v>
      </c>
      <c r="D19" s="7" t="s">
        <v>40</v>
      </c>
      <c r="E19" s="7" t="s">
        <v>24</v>
      </c>
      <c r="F19" s="7" t="s">
        <v>45</v>
      </c>
      <c r="G19" s="7" t="s">
        <v>37</v>
      </c>
      <c r="H19" s="7">
        <v>2</v>
      </c>
      <c r="I19" s="17">
        <v>800</v>
      </c>
      <c r="J19" s="9">
        <v>0.1</v>
      </c>
      <c r="K19" s="7" t="s">
        <v>12</v>
      </c>
      <c r="L19" s="7" t="s">
        <v>33</v>
      </c>
      <c r="M19" s="3" t="b">
        <f>(Ecom[[#This Row],[Category]]="Electronics")</f>
        <v>0</v>
      </c>
      <c r="N19" s="3" t="b">
        <f>OR(Ecom[[#This Row],[Quantity]]&gt;3,Ecom[[#This Row],[Unit_Price]]&gt;10000)</f>
        <v>0</v>
      </c>
      <c r="O19" s="3" t="b">
        <f>(Ecom[[#This Row],[Quantity]]&gt;3*Ecom[[#This Row],[Unit_Price]]&gt;10000)</f>
        <v>1</v>
      </c>
      <c r="P19" s="3">
        <f>(Ecom[[#This Row],[Quantity]]&gt;3)+(Ecom[[#This Row],[Unit_Price]]&gt;= 10000)</f>
        <v>0</v>
      </c>
      <c r="Q19" s="3">
        <f>IF(Ecom[[#This Row],[Returned]]="Yes",1,0)</f>
        <v>1</v>
      </c>
      <c r="R19" s="3" t="str">
        <f>IF(AND(Ecom[[#This Row],[Quantity]]&gt;=3,Ecom[[#This Row],[Unit_Price]]&gt;=10000),"Bulk and expensive","other")</f>
        <v>other</v>
      </c>
      <c r="S19" s="3" t="str">
        <f>IF(OR(Ecom[[#This Row],[Quantity]]&gt;=3,Ecom[[#This Row],[Unit_Price]]&gt;=10000),"Bulk and expensive","other")</f>
        <v>other</v>
      </c>
      <c r="T19" s="3" t="str">
        <f>IF(Ecom[[#This Row],[Unit_Price]]&lt;500,"Low",IF(Ecom[[#This Row],[Unit_Price]]&lt;1000,"Medium",IF(Ecom[[#This Row],[Unit_Price]]&lt;5000,"High","Premium")))</f>
        <v>Medium</v>
      </c>
      <c r="U19" s="3" t="str" cm="1">
        <f t="array" ref="U19">_xlfn.IFS(Ecom[[#This Row],[Unit_Price]]&lt;500,"Low",Ecom[[#This Row],[Unit_Price]]&lt;1000,"Medium",Ecom[[#This Row],[Unit_Price]]&lt;5000,"High",TRUE,"Premium")</f>
        <v>Medium</v>
      </c>
      <c r="V19" s="3" t="str" cm="1">
        <f t="array" ref="V19">_xlfn.SWITCH(Ecom[[#This Row],[Order_Status]],"Delivered","Completed","Processing","In Progress","other")</f>
        <v>other</v>
      </c>
      <c r="W19" s="3" t="str" cm="1">
        <f t="array" ref="W19">_xlfn.SWITCH(TRUE,Ecom[[#This Row],[Unit_Price]]&lt;500,"Low",Ecom[[#This Row],[Unit_Price]]&lt;1000,"Medium",Ecom[[#This Row],[Unit_Price]]&lt;5000,"High","Premium")</f>
        <v>Medium</v>
      </c>
    </row>
    <row r="20" spans="1:23" ht="18" thickBot="1" x14ac:dyDescent="0.3">
      <c r="A20" s="10" t="s">
        <v>81</v>
      </c>
      <c r="B20" s="5">
        <v>46205</v>
      </c>
      <c r="C20" s="4" t="s">
        <v>82</v>
      </c>
      <c r="D20" s="4" t="s">
        <v>40</v>
      </c>
      <c r="E20" s="4" t="s">
        <v>24</v>
      </c>
      <c r="F20" s="4" t="s">
        <v>17</v>
      </c>
      <c r="G20" s="4" t="s">
        <v>18</v>
      </c>
      <c r="H20" s="4">
        <v>5</v>
      </c>
      <c r="I20" s="16">
        <v>3500</v>
      </c>
      <c r="J20" s="6">
        <v>0.05</v>
      </c>
      <c r="K20" s="4" t="s">
        <v>26</v>
      </c>
      <c r="L20" s="4" t="s">
        <v>20</v>
      </c>
      <c r="M20" s="3" t="b">
        <f>(Ecom[[#This Row],[Category]]="Electronics")</f>
        <v>1</v>
      </c>
      <c r="N20" s="3" t="b">
        <f>OR(Ecom[[#This Row],[Quantity]]&gt;3,Ecom[[#This Row],[Unit_Price]]&gt;10000)</f>
        <v>1</v>
      </c>
      <c r="O20" s="3" t="b">
        <f>(Ecom[[#This Row],[Quantity]]&gt;3*Ecom[[#This Row],[Unit_Price]]&gt;10000)</f>
        <v>1</v>
      </c>
      <c r="P20" s="3">
        <f>(Ecom[[#This Row],[Quantity]]&gt;3)+(Ecom[[#This Row],[Unit_Price]]&gt;= 10000)</f>
        <v>1</v>
      </c>
      <c r="Q20" s="3">
        <f>IF(Ecom[[#This Row],[Returned]]="Yes",1,0)</f>
        <v>0</v>
      </c>
      <c r="R20" s="3" t="str">
        <f>IF(AND(Ecom[[#This Row],[Quantity]]&gt;=3,Ecom[[#This Row],[Unit_Price]]&gt;=10000),"Bulk and expensive","other")</f>
        <v>other</v>
      </c>
      <c r="S20" s="3" t="str">
        <f>IF(OR(Ecom[[#This Row],[Quantity]]&gt;=3,Ecom[[#This Row],[Unit_Price]]&gt;=10000),"Bulk and expensive","other")</f>
        <v>Bulk and expensive</v>
      </c>
      <c r="T20" s="3" t="str">
        <f>IF(Ecom[[#This Row],[Unit_Price]]&lt;500,"Low",IF(Ecom[[#This Row],[Unit_Price]]&lt;1000,"Medium",IF(Ecom[[#This Row],[Unit_Price]]&lt;5000,"High","Premium")))</f>
        <v>High</v>
      </c>
      <c r="U20" s="3" t="str" cm="1">
        <f t="array" ref="U20">_xlfn.IFS(Ecom[[#This Row],[Unit_Price]]&lt;500,"Low",Ecom[[#This Row],[Unit_Price]]&lt;1000,"Medium",Ecom[[#This Row],[Unit_Price]]&lt;5000,"High",TRUE,"Premium")</f>
        <v>High</v>
      </c>
      <c r="V20" s="3" t="str" cm="1">
        <f t="array" ref="V20">_xlfn.SWITCH(Ecom[[#This Row],[Order_Status]],"Delivered","Completed","Processing","In Progress","other")</f>
        <v>In Progress</v>
      </c>
      <c r="W20" s="3" t="str" cm="1">
        <f t="array" ref="W20">_xlfn.SWITCH(TRUE,Ecom[[#This Row],[Unit_Price]]&lt;500,"Low",Ecom[[#This Row],[Unit_Price]]&lt;1000,"Medium",Ecom[[#This Row],[Unit_Price]]&lt;5000,"High","Premium")</f>
        <v>High</v>
      </c>
    </row>
    <row r="21" spans="1:23" ht="18" thickBot="1" x14ac:dyDescent="0.3">
      <c r="A21" s="11" t="s">
        <v>83</v>
      </c>
      <c r="B21" s="8">
        <v>46174</v>
      </c>
      <c r="C21" s="7" t="s">
        <v>84</v>
      </c>
      <c r="D21" s="7" t="s">
        <v>63</v>
      </c>
      <c r="E21" s="7" t="s">
        <v>16</v>
      </c>
      <c r="F21" s="7" t="s">
        <v>17</v>
      </c>
      <c r="G21" s="7" t="s">
        <v>18</v>
      </c>
      <c r="H21" s="7">
        <v>3</v>
      </c>
      <c r="I21" s="18">
        <v>3500</v>
      </c>
      <c r="J21" s="14">
        <v>0.1</v>
      </c>
      <c r="K21" s="15" t="s">
        <v>41</v>
      </c>
      <c r="L21" s="15" t="s">
        <v>20</v>
      </c>
      <c r="M21" s="3" t="b">
        <f>(Ecom[[#This Row],[Category]]="Electronics")</f>
        <v>1</v>
      </c>
      <c r="N21" s="3" t="b">
        <f>OR(Ecom[[#This Row],[Quantity]]&gt;3,Ecom[[#This Row],[Unit_Price]]&gt;10000)</f>
        <v>0</v>
      </c>
      <c r="O21" s="3" t="b">
        <f>(Ecom[[#This Row],[Quantity]]&gt;3*Ecom[[#This Row],[Unit_Price]]&gt;10000)</f>
        <v>1</v>
      </c>
      <c r="P21" s="3">
        <f>(Ecom[[#This Row],[Quantity]]&gt;3)+(Ecom[[#This Row],[Unit_Price]]&gt;= 10000)</f>
        <v>0</v>
      </c>
      <c r="Q21" s="3">
        <f>IF(Ecom[[#This Row],[Returned]]="Yes",1,0)</f>
        <v>0</v>
      </c>
      <c r="R21" s="3" t="str">
        <f>IF(AND(Ecom[[#This Row],[Quantity]]&gt;=3,Ecom[[#This Row],[Unit_Price]]&gt;=10000),"Bulk and expensive","other")</f>
        <v>other</v>
      </c>
      <c r="S21" s="3" t="str">
        <f>IF(OR(Ecom[[#This Row],[Quantity]]&gt;=3,Ecom[[#This Row],[Unit_Price]]&gt;=10000),"Bulk and expensive","other")</f>
        <v>Bulk and expensive</v>
      </c>
      <c r="T21" s="3" t="str">
        <f>IF(Ecom[[#This Row],[Unit_Price]]&lt;500,"Low",IF(Ecom[[#This Row],[Unit_Price]]&lt;1000,"Medium",IF(Ecom[[#This Row],[Unit_Price]]&lt;5000,"High","Premium")))</f>
        <v>High</v>
      </c>
      <c r="U21" s="3" t="str" cm="1">
        <f t="array" ref="U21">_xlfn.IFS(Ecom[[#This Row],[Unit_Price]]&lt;500,"Low",Ecom[[#This Row],[Unit_Price]]&lt;1000,"Medium",Ecom[[#This Row],[Unit_Price]]&lt;5000,"High",TRUE,"Premium")</f>
        <v>High</v>
      </c>
      <c r="V21" s="3" t="str" cm="1">
        <f t="array" ref="V21">_xlfn.SWITCH(Ecom[[#This Row],[Order_Status]],"Delivered","Completed","Processing","In Progress","other")</f>
        <v>other</v>
      </c>
      <c r="W21" s="3" t="str" cm="1">
        <f t="array" ref="W21">_xlfn.SWITCH(TRUE,Ecom[[#This Row],[Unit_Price]]&lt;500,"Low",Ecom[[#This Row],[Unit_Price]]&lt;1000,"Medium",Ecom[[#This Row],[Unit_Price]]&lt;5000,"High","Premium")</f>
        <v>High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</dc:creator>
  <cp:lastModifiedBy>ASDC6</cp:lastModifiedBy>
  <dcterms:created xsi:type="dcterms:W3CDTF">2026-09-27T03:35:38Z</dcterms:created>
  <dcterms:modified xsi:type="dcterms:W3CDTF">2026-09-27T06:00:44Z</dcterms:modified>
</cp:coreProperties>
</file>